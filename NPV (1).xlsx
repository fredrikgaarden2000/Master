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fredsoll_ntnu_no/Documents/Dokumenter/A NTNU/10. semester/"/>
    </mc:Choice>
  </mc:AlternateContent>
  <xr:revisionPtr revIDLastSave="417" documentId="8_{3CA509CC-8BC2-4E4F-93DB-B954AC2267FC}" xr6:coauthVersionLast="47" xr6:coauthVersionMax="47" xr10:uidLastSave="{E1D1D88E-0661-4742-B1F2-61309974BEA2}"/>
  <bookViews>
    <workbookView xWindow="-103" yWindow="-103" windowWidth="21600" windowHeight="13749" activeTab="2" xr2:uid="{AAFC8B8D-9972-4026-BCCA-D1A9B23ED0F4}"/>
  </bookViews>
  <sheets>
    <sheet name="Large_scen" sheetId="7" r:id="rId1"/>
    <sheet name="Upgrading" sheetId="1" r:id="rId2"/>
    <sheet name="Flex_biomethane" sheetId="2" r:id="rId3"/>
    <sheet name="Flex_biogas" sheetId="10" r:id="rId4"/>
    <sheet name="CHP" sheetId="8" r:id="rId5"/>
    <sheet name="Boiler" sheetId="9" r:id="rId6"/>
    <sheet name="Sheet6" sheetId="6" r:id="rId7"/>
    <sheet name="Sheet3" sheetId="3" r:id="rId8"/>
    <sheet name="Sheet4" sheetId="4" r:id="rId9"/>
    <sheet name="Sheet5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  <c r="H24" i="8"/>
  <c r="G24" i="8"/>
  <c r="D22" i="8"/>
  <c r="L21" i="8"/>
  <c r="D17" i="8"/>
  <c r="D18" i="8" s="1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AA8" i="8"/>
  <c r="Z8" i="8"/>
  <c r="Y8" i="8"/>
  <c r="X8" i="8"/>
  <c r="X14" i="8" s="1"/>
  <c r="W8" i="8"/>
  <c r="V8" i="8"/>
  <c r="U8" i="8"/>
  <c r="T8" i="8"/>
  <c r="S8" i="8"/>
  <c r="R8" i="8"/>
  <c r="Q8" i="8"/>
  <c r="P8" i="8"/>
  <c r="P14" i="8" s="1"/>
  <c r="O8" i="8"/>
  <c r="N8" i="8"/>
  <c r="M8" i="8"/>
  <c r="L8" i="8"/>
  <c r="K8" i="8"/>
  <c r="J8" i="8"/>
  <c r="I8" i="8"/>
  <c r="H8" i="8"/>
  <c r="H14" i="8" s="1"/>
  <c r="G8" i="8"/>
  <c r="F8" i="8"/>
  <c r="E8" i="8"/>
  <c r="D8" i="8"/>
  <c r="D14" i="8" s="1"/>
  <c r="B4" i="8"/>
  <c r="B14" i="8" s="1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H26" i="10"/>
  <c r="G26" i="10"/>
  <c r="D24" i="10"/>
  <c r="L23" i="10"/>
  <c r="D19" i="10"/>
  <c r="D20" i="10" s="1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AA10" i="10"/>
  <c r="Z10" i="10"/>
  <c r="Y10" i="10"/>
  <c r="X10" i="10"/>
  <c r="W10" i="10"/>
  <c r="V10" i="10"/>
  <c r="U10" i="10"/>
  <c r="T10" i="10"/>
  <c r="S10" i="10"/>
  <c r="R10" i="10"/>
  <c r="R16" i="10" s="1"/>
  <c r="Q10" i="10"/>
  <c r="P10" i="10"/>
  <c r="O10" i="10"/>
  <c r="N10" i="10"/>
  <c r="M10" i="10"/>
  <c r="L10" i="10"/>
  <c r="K10" i="10"/>
  <c r="J10" i="10"/>
  <c r="J16" i="10" s="1"/>
  <c r="I10" i="10"/>
  <c r="H10" i="10"/>
  <c r="G10" i="10"/>
  <c r="F10" i="10"/>
  <c r="E10" i="10"/>
  <c r="D10" i="10"/>
  <c r="C10" i="10"/>
  <c r="AA16" i="10"/>
  <c r="B16" i="10"/>
  <c r="B4" i="10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4" i="2"/>
  <c r="H27" i="2"/>
  <c r="G27" i="2"/>
  <c r="D25" i="2"/>
  <c r="L24" i="2"/>
  <c r="D20" i="2"/>
  <c r="D21" i="2" s="1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6" i="2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6" i="1"/>
  <c r="F14" i="8" l="1"/>
  <c r="N14" i="8"/>
  <c r="V14" i="8"/>
  <c r="I14" i="8"/>
  <c r="Q14" i="8"/>
  <c r="E14" i="8"/>
  <c r="M14" i="8"/>
  <c r="U14" i="8"/>
  <c r="G14" i="8"/>
  <c r="O14" i="8"/>
  <c r="W14" i="8"/>
  <c r="Y14" i="8"/>
  <c r="L14" i="8"/>
  <c r="T14" i="8"/>
  <c r="K14" i="8"/>
  <c r="C14" i="8"/>
  <c r="S14" i="8"/>
  <c r="AA14" i="8"/>
  <c r="J14" i="8"/>
  <c r="R14" i="8"/>
  <c r="Z14" i="8"/>
  <c r="G16" i="10"/>
  <c r="O16" i="10"/>
  <c r="W16" i="10"/>
  <c r="K16" i="10"/>
  <c r="F16" i="10"/>
  <c r="N16" i="10"/>
  <c r="V16" i="10"/>
  <c r="X16" i="10"/>
  <c r="I16" i="10"/>
  <c r="Y16" i="10"/>
  <c r="S16" i="10"/>
  <c r="M16" i="10"/>
  <c r="E16" i="10"/>
  <c r="U16" i="10"/>
  <c r="H16" i="10"/>
  <c r="P16" i="10"/>
  <c r="Z16" i="10"/>
  <c r="Q16" i="10"/>
  <c r="C16" i="10"/>
  <c r="D16" i="10"/>
  <c r="L16" i="10"/>
  <c r="T16" i="10"/>
  <c r="C17" i="2"/>
  <c r="U17" i="2"/>
  <c r="B17" i="2"/>
  <c r="I17" i="2"/>
  <c r="J17" i="2"/>
  <c r="R17" i="2"/>
  <c r="Z17" i="2"/>
  <c r="Q17" i="2"/>
  <c r="AA17" i="2"/>
  <c r="D17" i="2"/>
  <c r="L17" i="2"/>
  <c r="T17" i="2"/>
  <c r="K17" i="2"/>
  <c r="S17" i="2"/>
  <c r="F17" i="2"/>
  <c r="N17" i="2"/>
  <c r="V17" i="2"/>
  <c r="G17" i="2"/>
  <c r="O17" i="2"/>
  <c r="W17" i="2"/>
  <c r="H17" i="2"/>
  <c r="P17" i="2"/>
  <c r="X17" i="2"/>
  <c r="E17" i="2"/>
  <c r="M17" i="2"/>
  <c r="Y17" i="2"/>
  <c r="R16" i="1"/>
  <c r="J16" i="1"/>
  <c r="K16" i="1"/>
  <c r="S16" i="1"/>
  <c r="I16" i="1"/>
  <c r="Y16" i="1"/>
  <c r="P16" i="1"/>
  <c r="X16" i="1"/>
  <c r="Z16" i="1"/>
  <c r="H16" i="1"/>
  <c r="O16" i="1"/>
  <c r="W16" i="1"/>
  <c r="AA16" i="1"/>
  <c r="E16" i="1"/>
  <c r="M16" i="1"/>
  <c r="N16" i="1"/>
  <c r="V16" i="1"/>
  <c r="G16" i="1"/>
  <c r="Q16" i="1"/>
  <c r="C16" i="1"/>
  <c r="F16" i="1"/>
  <c r="U16" i="1"/>
  <c r="L16" i="1"/>
  <c r="T16" i="1"/>
  <c r="D16" i="1"/>
  <c r="C38" i="7"/>
  <c r="L23" i="1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D27" i="7"/>
  <c r="C27" i="7"/>
  <c r="A14" i="8" l="1"/>
  <c r="B16" i="8"/>
  <c r="B18" i="8" s="1"/>
  <c r="B20" i="8" s="1"/>
  <c r="B18" i="10"/>
  <c r="B20" i="10" s="1"/>
  <c r="B22" i="10" s="1"/>
  <c r="A16" i="10"/>
  <c r="A17" i="2"/>
  <c r="B19" i="2"/>
  <c r="B21" i="2" s="1"/>
  <c r="B23" i="2" s="1"/>
  <c r="L14" i="7"/>
  <c r="P14" i="7"/>
  <c r="X14" i="7"/>
  <c r="F14" i="7"/>
  <c r="C14" i="7"/>
  <c r="D14" i="7"/>
  <c r="H24" i="7"/>
  <c r="G24" i="7"/>
  <c r="D22" i="7"/>
  <c r="D18" i="7"/>
  <c r="D17" i="7"/>
  <c r="B6" i="7"/>
  <c r="B4" i="7"/>
  <c r="D24" i="1"/>
  <c r="D3" i="6"/>
  <c r="D4" i="6"/>
  <c r="D5" i="6"/>
  <c r="D6" i="6"/>
  <c r="D7" i="6"/>
  <c r="D9" i="6"/>
  <c r="D8" i="6"/>
  <c r="E12" i="6"/>
  <c r="D12" i="6"/>
  <c r="F4" i="6"/>
  <c r="F5" i="6"/>
  <c r="F6" i="6"/>
  <c r="F7" i="6"/>
  <c r="F8" i="6"/>
  <c r="F9" i="6"/>
  <c r="F3" i="6"/>
  <c r="E4" i="6"/>
  <c r="E5" i="6"/>
  <c r="E6" i="6"/>
  <c r="E7" i="6"/>
  <c r="E8" i="6"/>
  <c r="E9" i="6"/>
  <c r="E3" i="6"/>
  <c r="G4" i="6"/>
  <c r="G5" i="6"/>
  <c r="G6" i="6"/>
  <c r="G7" i="6"/>
  <c r="G8" i="6"/>
  <c r="G9" i="6"/>
  <c r="G3" i="6"/>
  <c r="I3" i="6"/>
  <c r="H4" i="6"/>
  <c r="H3" i="6"/>
  <c r="C4" i="6"/>
  <c r="C5" i="6"/>
  <c r="C6" i="6"/>
  <c r="C7" i="6"/>
  <c r="C8" i="6"/>
  <c r="C9" i="6"/>
  <c r="C3" i="6"/>
  <c r="G26" i="1"/>
  <c r="D5" i="3"/>
  <c r="N18" i="3"/>
  <c r="E2" i="3"/>
  <c r="D8" i="3"/>
  <c r="E8" i="3"/>
  <c r="F8" i="3"/>
  <c r="G8" i="3"/>
  <c r="H8" i="3"/>
  <c r="I8" i="3"/>
  <c r="J8" i="3"/>
  <c r="K8" i="3"/>
  <c r="L8" i="3"/>
  <c r="L14" i="3" s="1"/>
  <c r="M8" i="3"/>
  <c r="M14" i="3" s="1"/>
  <c r="N8" i="3"/>
  <c r="O8" i="3"/>
  <c r="P8" i="3"/>
  <c r="P14" i="3" s="1"/>
  <c r="Q8" i="3"/>
  <c r="R8" i="3"/>
  <c r="S8" i="3"/>
  <c r="T8" i="3"/>
  <c r="U8" i="3"/>
  <c r="V8" i="3"/>
  <c r="W8" i="3"/>
  <c r="X8" i="3"/>
  <c r="Y8" i="3"/>
  <c r="Z8" i="3"/>
  <c r="AA8" i="3"/>
  <c r="C8" i="3"/>
  <c r="D14" i="3"/>
  <c r="C14" i="3"/>
  <c r="C6" i="5"/>
  <c r="C9" i="5"/>
  <c r="C5" i="5"/>
  <c r="E2" i="5"/>
  <c r="J9" i="5"/>
  <c r="B4" i="5"/>
  <c r="J8" i="5"/>
  <c r="K8" i="5"/>
  <c r="AA8" i="5"/>
  <c r="I9" i="5"/>
  <c r="O9" i="5"/>
  <c r="Q9" i="5"/>
  <c r="B14" i="5"/>
  <c r="C2" i="5"/>
  <c r="H24" i="5"/>
  <c r="K22" i="5"/>
  <c r="F22" i="5"/>
  <c r="F23" i="5" s="1"/>
  <c r="E23" i="5" s="1"/>
  <c r="N21" i="5"/>
  <c r="F20" i="5"/>
  <c r="N18" i="5"/>
  <c r="N19" i="5" s="1"/>
  <c r="N22" i="5" s="1"/>
  <c r="K18" i="5"/>
  <c r="J18" i="5"/>
  <c r="D18" i="5"/>
  <c r="G17" i="5"/>
  <c r="D17" i="5"/>
  <c r="E5" i="5"/>
  <c r="E22" i="5" s="1"/>
  <c r="K4" i="5"/>
  <c r="J4" i="5"/>
  <c r="J1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C8" i="4"/>
  <c r="N18" i="4"/>
  <c r="N21" i="4" s="1"/>
  <c r="H24" i="4"/>
  <c r="K22" i="4"/>
  <c r="F22" i="4"/>
  <c r="F23" i="4" s="1"/>
  <c r="E23" i="4" s="1"/>
  <c r="F20" i="4"/>
  <c r="K18" i="4"/>
  <c r="D18" i="4"/>
  <c r="G17" i="4"/>
  <c r="D17" i="4"/>
  <c r="AA9" i="4"/>
  <c r="Z9" i="4"/>
  <c r="Y9" i="4"/>
  <c r="X9" i="4"/>
  <c r="W9" i="4"/>
  <c r="V9" i="4"/>
  <c r="S9" i="4"/>
  <c r="R9" i="4"/>
  <c r="Q9" i="4"/>
  <c r="P9" i="4"/>
  <c r="O9" i="4"/>
  <c r="N9" i="4"/>
  <c r="M9" i="4"/>
  <c r="L9" i="4"/>
  <c r="K9" i="4"/>
  <c r="J9" i="4"/>
  <c r="G9" i="4"/>
  <c r="F9" i="4"/>
  <c r="E9" i="4"/>
  <c r="D9" i="4"/>
  <c r="C9" i="4"/>
  <c r="K4" i="4"/>
  <c r="B4" i="4"/>
  <c r="B14" i="4" s="1"/>
  <c r="E2" i="4"/>
  <c r="I4" i="4" s="1"/>
  <c r="F14" i="3"/>
  <c r="R14" i="3"/>
  <c r="F22" i="3"/>
  <c r="F23" i="3" s="1"/>
  <c r="E23" i="3" s="1"/>
  <c r="G14" i="3"/>
  <c r="S14" i="3"/>
  <c r="G17" i="3"/>
  <c r="K18" i="3"/>
  <c r="N21" i="3"/>
  <c r="K22" i="3"/>
  <c r="E5" i="3"/>
  <c r="E22" i="3" s="1"/>
  <c r="J4" i="3"/>
  <c r="F20" i="3"/>
  <c r="D2" i="3" s="1"/>
  <c r="D9" i="3"/>
  <c r="E9" i="3"/>
  <c r="E14" i="3" s="1"/>
  <c r="F9" i="3"/>
  <c r="G9" i="3"/>
  <c r="H9" i="3"/>
  <c r="H14" i="3" s="1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C9" i="3"/>
  <c r="H24" i="3"/>
  <c r="D17" i="3"/>
  <c r="D18" i="3" s="1"/>
  <c r="Q14" i="3"/>
  <c r="K4" i="3"/>
  <c r="B4" i="3"/>
  <c r="B14" i="3" s="1"/>
  <c r="H26" i="1"/>
  <c r="D19" i="1"/>
  <c r="D20" i="1" s="1"/>
  <c r="B4" i="1"/>
  <c r="B16" i="1" s="1"/>
  <c r="B14" i="7" l="1"/>
  <c r="V14" i="7"/>
  <c r="AA14" i="7"/>
  <c r="R14" i="7"/>
  <c r="T14" i="7"/>
  <c r="J14" i="7"/>
  <c r="H14" i="7"/>
  <c r="B16" i="7" s="1"/>
  <c r="O14" i="7"/>
  <c r="M14" i="7"/>
  <c r="Y14" i="7"/>
  <c r="I14" i="7"/>
  <c r="E14" i="7"/>
  <c r="Q14" i="7"/>
  <c r="G14" i="7"/>
  <c r="S14" i="7"/>
  <c r="U14" i="7"/>
  <c r="K14" i="7"/>
  <c r="W14" i="7"/>
  <c r="N14" i="7"/>
  <c r="Z14" i="7"/>
  <c r="E9" i="5"/>
  <c r="C8" i="5"/>
  <c r="W8" i="5"/>
  <c r="AA9" i="5"/>
  <c r="V8" i="5"/>
  <c r="U8" i="5"/>
  <c r="V9" i="5"/>
  <c r="Q8" i="5"/>
  <c r="W9" i="5"/>
  <c r="U9" i="5"/>
  <c r="U14" i="5" s="1"/>
  <c r="O8" i="5"/>
  <c r="O14" i="5" s="1"/>
  <c r="K9" i="5"/>
  <c r="E8" i="5"/>
  <c r="E14" i="5" s="1"/>
  <c r="X9" i="5"/>
  <c r="L9" i="5"/>
  <c r="X8" i="5"/>
  <c r="L8" i="5"/>
  <c r="I8" i="5"/>
  <c r="T9" i="5"/>
  <c r="H9" i="5"/>
  <c r="T8" i="5"/>
  <c r="T14" i="5" s="1"/>
  <c r="H8" i="5"/>
  <c r="H14" i="5" s="1"/>
  <c r="S9" i="5"/>
  <c r="G9" i="5"/>
  <c r="S8" i="5"/>
  <c r="G8" i="5"/>
  <c r="R9" i="5"/>
  <c r="F9" i="5"/>
  <c r="R8" i="5"/>
  <c r="F8" i="5"/>
  <c r="P9" i="5"/>
  <c r="D9" i="5"/>
  <c r="P8" i="5"/>
  <c r="P14" i="5" s="1"/>
  <c r="D8" i="5"/>
  <c r="Z9" i="5"/>
  <c r="N9" i="5"/>
  <c r="Z8" i="5"/>
  <c r="Z14" i="5" s="1"/>
  <c r="N8" i="5"/>
  <c r="C14" i="5"/>
  <c r="Y9" i="5"/>
  <c r="M9" i="5"/>
  <c r="Y8" i="5"/>
  <c r="Y14" i="5" s="1"/>
  <c r="M8" i="5"/>
  <c r="AA14" i="5"/>
  <c r="F14" i="5"/>
  <c r="Q14" i="5"/>
  <c r="E24" i="5"/>
  <c r="D14" i="5"/>
  <c r="E4" i="5"/>
  <c r="I14" i="5"/>
  <c r="H4" i="5"/>
  <c r="J14" i="5"/>
  <c r="V14" i="5"/>
  <c r="I4" i="5"/>
  <c r="K14" i="5"/>
  <c r="W14" i="5"/>
  <c r="M14" i="5"/>
  <c r="J14" i="4"/>
  <c r="Z14" i="4"/>
  <c r="Y14" i="4"/>
  <c r="V14" i="4"/>
  <c r="L14" i="4"/>
  <c r="S14" i="4"/>
  <c r="G14" i="4"/>
  <c r="R14" i="4"/>
  <c r="F14" i="4"/>
  <c r="H9" i="4"/>
  <c r="T9" i="4"/>
  <c r="Q14" i="4"/>
  <c r="E14" i="4"/>
  <c r="E5" i="4"/>
  <c r="E22" i="4" s="1"/>
  <c r="E24" i="4" s="1"/>
  <c r="I9" i="4"/>
  <c r="U9" i="4"/>
  <c r="C14" i="4"/>
  <c r="P14" i="4"/>
  <c r="D14" i="4"/>
  <c r="AA14" i="4"/>
  <c r="O14" i="4"/>
  <c r="K14" i="4"/>
  <c r="X14" i="4"/>
  <c r="W14" i="4"/>
  <c r="M14" i="4"/>
  <c r="N14" i="4"/>
  <c r="N19" i="4"/>
  <c r="N22" i="4" s="1"/>
  <c r="J4" i="4"/>
  <c r="E4" i="4"/>
  <c r="H4" i="4"/>
  <c r="X14" i="3"/>
  <c r="W14" i="3"/>
  <c r="K14" i="3"/>
  <c r="N14" i="3"/>
  <c r="N19" i="3"/>
  <c r="N22" i="3" s="1"/>
  <c r="J14" i="3"/>
  <c r="T14" i="3"/>
  <c r="E24" i="3"/>
  <c r="U14" i="3"/>
  <c r="I14" i="3"/>
  <c r="V14" i="3"/>
  <c r="AA14" i="3"/>
  <c r="O14" i="3"/>
  <c r="Z14" i="3"/>
  <c r="Y14" i="3"/>
  <c r="E4" i="3"/>
  <c r="H4" i="3"/>
  <c r="I4" i="3"/>
  <c r="B18" i="1" l="1"/>
  <c r="B20" i="1" s="1"/>
  <c r="B22" i="1" s="1"/>
  <c r="A16" i="1"/>
  <c r="A14" i="7"/>
  <c r="S14" i="5"/>
  <c r="B16" i="5" s="1"/>
  <c r="B18" i="5" s="1"/>
  <c r="B20" i="5" s="1"/>
  <c r="R14" i="5"/>
  <c r="L14" i="5"/>
  <c r="N14" i="5"/>
  <c r="G14" i="5"/>
  <c r="X14" i="5"/>
  <c r="A14" i="5"/>
  <c r="T14" i="4"/>
  <c r="H14" i="4"/>
  <c r="U14" i="4"/>
  <c r="I14" i="4"/>
  <c r="B16" i="3"/>
  <c r="B18" i="3" s="1"/>
  <c r="B20" i="3" s="1"/>
  <c r="A14" i="3"/>
  <c r="B18" i="7" l="1"/>
  <c r="B20" i="7" s="1"/>
  <c r="A14" i="4"/>
  <c r="B16" i="4"/>
  <c r="B18" i="4" s="1"/>
  <c r="B20" i="4" s="1"/>
</calcChain>
</file>

<file path=xl/sharedStrings.xml><?xml version="1.0" encoding="utf-8"?>
<sst xmlns="http://schemas.openxmlformats.org/spreadsheetml/2006/main" count="124" uniqueCount="37">
  <si>
    <t>Capex</t>
  </si>
  <si>
    <t>Upgrading</t>
  </si>
  <si>
    <t>Capacity</t>
  </si>
  <si>
    <t>Revenue</t>
  </si>
  <si>
    <t>Cost</t>
  </si>
  <si>
    <t>Transport</t>
  </si>
  <si>
    <t>GHG</t>
  </si>
  <si>
    <t>IRR</t>
  </si>
  <si>
    <t>Flex</t>
  </si>
  <si>
    <t>U_elec</t>
  </si>
  <si>
    <t>MWh</t>
  </si>
  <si>
    <t>NCH4</t>
  </si>
  <si>
    <t>MW</t>
  </si>
  <si>
    <t>NonEEG</t>
  </si>
  <si>
    <t>Flexbiogas</t>
  </si>
  <si>
    <t>Flexbiomethane</t>
  </si>
  <si>
    <t>Boiler</t>
  </si>
  <si>
    <t>Manure</t>
  </si>
  <si>
    <t>Small man</t>
  </si>
  <si>
    <t>Model</t>
  </si>
  <si>
    <t>Vi</t>
  </si>
  <si>
    <t>Revenue gas</t>
  </si>
  <si>
    <t>Revenue co2</t>
  </si>
  <si>
    <t>OpEx biogas</t>
  </si>
  <si>
    <t>OpEx upg</t>
  </si>
  <si>
    <t>Prices</t>
  </si>
  <si>
    <t>gas</t>
  </si>
  <si>
    <t>co2</t>
  </si>
  <si>
    <t>ghg</t>
  </si>
  <si>
    <t>el</t>
  </si>
  <si>
    <t>heat</t>
  </si>
  <si>
    <t>eeg</t>
  </si>
  <si>
    <t>Revenue spot</t>
  </si>
  <si>
    <t>Revenue EEG</t>
  </si>
  <si>
    <t>Revenue heat</t>
  </si>
  <si>
    <t>Bonus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</si>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</sst>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£&quot;#,##0.00;[Red]\-&quot;£&quot;#,##0.00"/>
    <numFmt numFmtId="43" formatCode="_-* #,##0.00_-;\-* #,##0.00_-;_-* &quot;-&quot;??_-;_-@_-"/>
    <numFmt numFmtId="164" formatCode="_-* #,##0_-;\-* #,##0_-;_-* &quot;-&quot;??_-;_-@_-"/>
    <numFmt numFmtId="165" formatCode="0.0000"/>
    <numFmt numFmtId="166" formatCode="_-* #,##0.0000_-;\-* #,##0.0000_-;_-* &quot;-&quot;??_-;_-@_-"/>
    <numFmt numFmtId="167" formatCode="_-* #,##0.00000_-;\-* #,##0.000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1" fontId="0" fillId="0" borderId="0" xfId="0" applyNumberFormat="1"/>
    <xf numFmtId="2" fontId="0" fillId="0" borderId="0" xfId="0" applyNumberFormat="1"/>
    <xf numFmtId="43" fontId="0" fillId="0" borderId="0" xfId="1" applyFont="1"/>
    <xf numFmtId="164" fontId="0" fillId="0" borderId="0" xfId="1" applyNumberFormat="1" applyFont="1"/>
    <xf numFmtId="8" fontId="0" fillId="0" borderId="0" xfId="0" applyNumberFormat="1"/>
    <xf numFmtId="9" fontId="0" fillId="0" borderId="0" xfId="0" applyNumberFormat="1"/>
    <xf numFmtId="43" fontId="0" fillId="0" borderId="0" xfId="0" applyNumberFormat="1"/>
    <xf numFmtId="2" fontId="0" fillId="0" borderId="0" xfId="1" applyNumberFormat="1" applyFont="1"/>
    <xf numFmtId="165" fontId="0" fillId="0" borderId="0" xfId="0" applyNumberFormat="1"/>
    <xf numFmtId="8" fontId="0" fillId="0" borderId="0" xfId="0" applyNumberFormat="1" applyAlignment="1">
      <alignment horizontal="center"/>
    </xf>
    <xf numFmtId="166" fontId="0" fillId="0" borderId="0" xfId="0" applyNumberFormat="1"/>
    <xf numFmtId="167" fontId="0" fillId="0" borderId="0" xfId="0" applyNumberFormat="1"/>
    <xf numFmtId="165" fontId="0" fillId="0" borderId="0" xfId="1" applyNumberFormat="1" applyFont="1"/>
    <xf numFmtId="0" fontId="2" fillId="0" borderId="0" xfId="0" applyFont="1"/>
    <xf numFmtId="11" fontId="0" fillId="0" borderId="0" xfId="1" applyNumberFormat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A8CE-501E-4B27-BECE-6924618E679C}">
  <dimension ref="A1:AA38"/>
  <sheetViews>
    <sheetView topLeftCell="B1" workbookViewId="0">
      <selection activeCell="C39" sqref="C39"/>
    </sheetView>
  </sheetViews>
  <sheetFormatPr defaultRowHeight="14.6" x14ac:dyDescent="0.4"/>
  <cols>
    <col min="2" max="2" width="14.765625" bestFit="1" customWidth="1"/>
    <col min="3" max="27" width="11.15234375" bestFit="1" customWidth="1"/>
  </cols>
  <sheetData>
    <row r="1" spans="1:27" x14ac:dyDescent="0.4">
      <c r="B1" t="s">
        <v>2</v>
      </c>
    </row>
    <row r="2" spans="1:27" x14ac:dyDescent="0.4">
      <c r="B2" s="1">
        <v>60000000</v>
      </c>
    </row>
    <row r="3" spans="1:27" x14ac:dyDescent="0.4">
      <c r="B3" t="s">
        <v>0</v>
      </c>
    </row>
    <row r="4" spans="1:27" x14ac:dyDescent="0.4">
      <c r="B4" s="2">
        <f>-B2*150.12*B2^(-0.311)</f>
        <v>-34322962.612801634</v>
      </c>
    </row>
    <row r="5" spans="1:27" x14ac:dyDescent="0.4">
      <c r="B5" t="s">
        <v>1</v>
      </c>
    </row>
    <row r="6" spans="1:27" x14ac:dyDescent="0.4">
      <c r="B6" s="2">
        <f>-(B2/8000)*47777*(B2/8000)^(-0.421)</f>
        <v>-8372966.3855647314</v>
      </c>
    </row>
    <row r="8" spans="1:27" x14ac:dyDescent="0.4">
      <c r="B8" t="s">
        <v>3</v>
      </c>
      <c r="C8">
        <f>30*9.97/1000 * 31723804 + 50/556 * 23000000</f>
        <v>11556935.100141009</v>
      </c>
      <c r="D8">
        <f t="shared" ref="D8:AA8" si="0">30*9.97/1000 * 31723804 + 50/556 * 23000000</f>
        <v>11556935.100141009</v>
      </c>
      <c r="E8">
        <f t="shared" si="0"/>
        <v>11556935.100141009</v>
      </c>
      <c r="F8">
        <f t="shared" si="0"/>
        <v>11556935.100141009</v>
      </c>
      <c r="G8">
        <f t="shared" si="0"/>
        <v>11556935.100141009</v>
      </c>
      <c r="H8">
        <f t="shared" si="0"/>
        <v>11556935.100141009</v>
      </c>
      <c r="I8">
        <f t="shared" si="0"/>
        <v>11556935.100141009</v>
      </c>
      <c r="J8">
        <f t="shared" si="0"/>
        <v>11556935.100141009</v>
      </c>
      <c r="K8">
        <f t="shared" si="0"/>
        <v>11556935.100141009</v>
      </c>
      <c r="L8">
        <f t="shared" si="0"/>
        <v>11556935.100141009</v>
      </c>
      <c r="M8">
        <f t="shared" si="0"/>
        <v>11556935.100141009</v>
      </c>
      <c r="N8">
        <f t="shared" si="0"/>
        <v>11556935.100141009</v>
      </c>
      <c r="O8">
        <f t="shared" si="0"/>
        <v>11556935.100141009</v>
      </c>
      <c r="P8">
        <f t="shared" si="0"/>
        <v>11556935.100141009</v>
      </c>
      <c r="Q8">
        <f t="shared" si="0"/>
        <v>11556935.100141009</v>
      </c>
      <c r="R8">
        <f t="shared" si="0"/>
        <v>11556935.100141009</v>
      </c>
      <c r="S8">
        <f t="shared" si="0"/>
        <v>11556935.100141009</v>
      </c>
      <c r="T8">
        <f t="shared" si="0"/>
        <v>11556935.100141009</v>
      </c>
      <c r="U8">
        <f t="shared" si="0"/>
        <v>11556935.100141009</v>
      </c>
      <c r="V8">
        <f t="shared" si="0"/>
        <v>11556935.100141009</v>
      </c>
      <c r="W8">
        <f t="shared" si="0"/>
        <v>11556935.100141009</v>
      </c>
      <c r="X8">
        <f t="shared" si="0"/>
        <v>11556935.100141009</v>
      </c>
      <c r="Y8">
        <f t="shared" si="0"/>
        <v>11556935.100141009</v>
      </c>
      <c r="Z8">
        <f t="shared" si="0"/>
        <v>11556935.100141009</v>
      </c>
      <c r="AA8">
        <f t="shared" si="0"/>
        <v>11556935.100141009</v>
      </c>
    </row>
    <row r="9" spans="1:27" x14ac:dyDescent="0.4">
      <c r="B9" t="s">
        <v>4</v>
      </c>
      <c r="C9" s="4">
        <f>-2.1209*$B$2^(0.8359)-0.05*31722388</f>
        <v>-8320176.9298838219</v>
      </c>
      <c r="D9" s="4">
        <f t="shared" ref="D9:AA9" si="1">-2.1209*$B$2^(0.8359)-0.05*31722388</f>
        <v>-8320176.9298838219</v>
      </c>
      <c r="E9" s="4">
        <f t="shared" si="1"/>
        <v>-8320176.9298838219</v>
      </c>
      <c r="F9" s="4">
        <f t="shared" si="1"/>
        <v>-8320176.9298838219</v>
      </c>
      <c r="G9" s="4">
        <f t="shared" si="1"/>
        <v>-8320176.9298838219</v>
      </c>
      <c r="H9" s="4">
        <f t="shared" si="1"/>
        <v>-8320176.9298838219</v>
      </c>
      <c r="I9" s="4">
        <f t="shared" si="1"/>
        <v>-8320176.9298838219</v>
      </c>
      <c r="J9" s="4">
        <f t="shared" si="1"/>
        <v>-8320176.9298838219</v>
      </c>
      <c r="K9" s="4">
        <f t="shared" si="1"/>
        <v>-8320176.9298838219</v>
      </c>
      <c r="L9" s="4">
        <f t="shared" si="1"/>
        <v>-8320176.9298838219</v>
      </c>
      <c r="M9" s="4">
        <f t="shared" si="1"/>
        <v>-8320176.9298838219</v>
      </c>
      <c r="N9" s="4">
        <f t="shared" si="1"/>
        <v>-8320176.9298838219</v>
      </c>
      <c r="O9" s="4">
        <f t="shared" si="1"/>
        <v>-8320176.9298838219</v>
      </c>
      <c r="P9" s="4">
        <f t="shared" si="1"/>
        <v>-8320176.9298838219</v>
      </c>
      <c r="Q9" s="4">
        <f t="shared" si="1"/>
        <v>-8320176.9298838219</v>
      </c>
      <c r="R9" s="4">
        <f t="shared" si="1"/>
        <v>-8320176.9298838219</v>
      </c>
      <c r="S9" s="4">
        <f t="shared" si="1"/>
        <v>-8320176.9298838219</v>
      </c>
      <c r="T9" s="4">
        <f t="shared" si="1"/>
        <v>-8320176.9298838219</v>
      </c>
      <c r="U9" s="4">
        <f t="shared" si="1"/>
        <v>-8320176.9298838219</v>
      </c>
      <c r="V9" s="4">
        <f t="shared" si="1"/>
        <v>-8320176.9298838219</v>
      </c>
      <c r="W9" s="4">
        <f t="shared" si="1"/>
        <v>-8320176.9298838219</v>
      </c>
      <c r="X9" s="4">
        <f t="shared" si="1"/>
        <v>-8320176.9298838219</v>
      </c>
      <c r="Y9" s="4">
        <f t="shared" si="1"/>
        <v>-8320176.9298838219</v>
      </c>
      <c r="Z9" s="4">
        <f t="shared" si="1"/>
        <v>-8320176.9298838219</v>
      </c>
      <c r="AA9" s="4">
        <f t="shared" si="1"/>
        <v>-8320176.9298838219</v>
      </c>
    </row>
    <row r="10" spans="1:27" x14ac:dyDescent="0.4">
      <c r="B10" t="s">
        <v>5</v>
      </c>
      <c r="C10" s="1">
        <v>-7170000</v>
      </c>
      <c r="D10" s="1">
        <v>-7170000</v>
      </c>
      <c r="E10" s="1">
        <v>-7170000</v>
      </c>
      <c r="F10" s="1">
        <v>-7170000</v>
      </c>
      <c r="G10" s="1">
        <v>-7170000</v>
      </c>
      <c r="H10" s="1">
        <v>-7170000</v>
      </c>
      <c r="I10" s="1">
        <v>-7170000</v>
      </c>
      <c r="J10" s="1">
        <v>-7170000</v>
      </c>
      <c r="K10" s="1">
        <v>-7170000</v>
      </c>
      <c r="L10" s="1">
        <v>-7170000</v>
      </c>
      <c r="M10" s="1">
        <v>-7170000</v>
      </c>
      <c r="N10" s="1">
        <v>-7170000</v>
      </c>
      <c r="O10" s="1">
        <v>-7170000</v>
      </c>
      <c r="P10" s="1">
        <v>-7170000</v>
      </c>
      <c r="Q10" s="1">
        <v>-7170000</v>
      </c>
      <c r="R10" s="1">
        <v>-7170000</v>
      </c>
      <c r="S10" s="1">
        <v>-7170000</v>
      </c>
      <c r="T10" s="1">
        <v>-7170000</v>
      </c>
      <c r="U10" s="1">
        <v>-7170000</v>
      </c>
      <c r="V10" s="1">
        <v>-7170000</v>
      </c>
      <c r="W10" s="1">
        <v>-7170000</v>
      </c>
      <c r="X10" s="1">
        <v>-7170000</v>
      </c>
      <c r="Y10" s="1">
        <v>-7170000</v>
      </c>
      <c r="Z10" s="1">
        <v>-7170000</v>
      </c>
      <c r="AA10" s="1">
        <v>-7170000</v>
      </c>
    </row>
    <row r="11" spans="1:27" x14ac:dyDescent="0.4">
      <c r="B11" t="s">
        <v>6</v>
      </c>
      <c r="C11" s="15">
        <v>12862000</v>
      </c>
      <c r="D11" s="15">
        <v>12862000</v>
      </c>
      <c r="E11" s="15">
        <v>12862000</v>
      </c>
      <c r="F11" s="15">
        <v>12862000</v>
      </c>
      <c r="G11" s="15">
        <v>12862000</v>
      </c>
      <c r="H11" s="15">
        <v>12862000</v>
      </c>
      <c r="I11" s="15">
        <v>12862000</v>
      </c>
      <c r="J11" s="15">
        <v>12862000</v>
      </c>
      <c r="K11" s="15">
        <v>12862000</v>
      </c>
      <c r="L11" s="15">
        <v>12862000</v>
      </c>
      <c r="M11" s="15">
        <v>12862000</v>
      </c>
      <c r="N11" s="15">
        <v>12862000</v>
      </c>
      <c r="O11" s="15">
        <v>12862000</v>
      </c>
      <c r="P11" s="15">
        <v>12862000</v>
      </c>
      <c r="Q11" s="15">
        <v>12862000</v>
      </c>
      <c r="R11" s="15">
        <v>12862000</v>
      </c>
      <c r="S11" s="15">
        <v>12862000</v>
      </c>
      <c r="T11" s="15">
        <v>12862000</v>
      </c>
      <c r="U11" s="15">
        <v>12862000</v>
      </c>
      <c r="V11" s="15">
        <v>12862000</v>
      </c>
      <c r="W11" s="15">
        <v>12862000</v>
      </c>
      <c r="X11" s="15">
        <v>12862000</v>
      </c>
      <c r="Y11" s="15">
        <v>12862000</v>
      </c>
      <c r="Z11" s="15">
        <v>12862000</v>
      </c>
      <c r="AA11" s="15">
        <v>12862000</v>
      </c>
    </row>
    <row r="13" spans="1:27" x14ac:dyDescent="0.4">
      <c r="A13" t="s">
        <v>7</v>
      </c>
    </row>
    <row r="14" spans="1:27" x14ac:dyDescent="0.4">
      <c r="A14" s="6">
        <f>IRR(B14:AA14)</f>
        <v>0.20723817571853687</v>
      </c>
      <c r="B14" s="3">
        <f>B6+B4</f>
        <v>-42695928.998366363</v>
      </c>
      <c r="C14">
        <f>SUM(C8:C13)</f>
        <v>8928758.1702571884</v>
      </c>
      <c r="D14">
        <f t="shared" ref="D14:AA14" si="2">SUM(D8:D13)</f>
        <v>8928758.1702571884</v>
      </c>
      <c r="E14">
        <f t="shared" si="2"/>
        <v>8928758.1702571884</v>
      </c>
      <c r="F14">
        <f t="shared" si="2"/>
        <v>8928758.1702571884</v>
      </c>
      <c r="G14">
        <f t="shared" si="2"/>
        <v>8928758.1702571884</v>
      </c>
      <c r="H14">
        <f t="shared" si="2"/>
        <v>8928758.1702571884</v>
      </c>
      <c r="I14">
        <f t="shared" si="2"/>
        <v>8928758.1702571884</v>
      </c>
      <c r="J14">
        <f t="shared" si="2"/>
        <v>8928758.1702571884</v>
      </c>
      <c r="K14">
        <f t="shared" si="2"/>
        <v>8928758.1702571884</v>
      </c>
      <c r="L14">
        <f t="shared" si="2"/>
        <v>8928758.1702571884</v>
      </c>
      <c r="M14">
        <f t="shared" si="2"/>
        <v>8928758.1702571884</v>
      </c>
      <c r="N14">
        <f t="shared" si="2"/>
        <v>8928758.1702571884</v>
      </c>
      <c r="O14">
        <f t="shared" si="2"/>
        <v>8928758.1702571884</v>
      </c>
      <c r="P14">
        <f t="shared" si="2"/>
        <v>8928758.1702571884</v>
      </c>
      <c r="Q14">
        <f t="shared" si="2"/>
        <v>8928758.1702571884</v>
      </c>
      <c r="R14">
        <f t="shared" si="2"/>
        <v>8928758.1702571884</v>
      </c>
      <c r="S14">
        <f t="shared" si="2"/>
        <v>8928758.1702571884</v>
      </c>
      <c r="T14">
        <f t="shared" si="2"/>
        <v>8928758.1702571884</v>
      </c>
      <c r="U14">
        <f t="shared" si="2"/>
        <v>8928758.1702571884</v>
      </c>
      <c r="V14">
        <f t="shared" si="2"/>
        <v>8928758.1702571884</v>
      </c>
      <c r="W14">
        <f t="shared" si="2"/>
        <v>8928758.1702571884</v>
      </c>
      <c r="X14">
        <f t="shared" si="2"/>
        <v>8928758.1702571884</v>
      </c>
      <c r="Y14">
        <f t="shared" si="2"/>
        <v>8928758.1702571884</v>
      </c>
      <c r="Z14">
        <f t="shared" si="2"/>
        <v>8928758.1702571884</v>
      </c>
      <c r="AA14">
        <f t="shared" si="2"/>
        <v>8928758.1702571884</v>
      </c>
    </row>
    <row r="16" spans="1:27" x14ac:dyDescent="0.4">
      <c r="B16" s="5">
        <f>NPV(0.042,C14:AA14)+B14</f>
        <v>93887390.461225808</v>
      </c>
    </row>
    <row r="17" spans="2:13" x14ac:dyDescent="0.4">
      <c r="D17">
        <f>75000000/100</f>
        <v>750000</v>
      </c>
    </row>
    <row r="18" spans="2:13" x14ac:dyDescent="0.4">
      <c r="B18" s="5">
        <f>B16/1000000</f>
        <v>93.887390461225806</v>
      </c>
      <c r="D18">
        <f>D17/30</f>
        <v>25000</v>
      </c>
      <c r="K18">
        <v>1</v>
      </c>
      <c r="L18">
        <v>4</v>
      </c>
      <c r="M18">
        <v>15</v>
      </c>
    </row>
    <row r="19" spans="2:13" x14ac:dyDescent="0.4">
      <c r="G19">
        <v>11.03</v>
      </c>
      <c r="H19">
        <v>7.78</v>
      </c>
      <c r="I19">
        <v>13.11</v>
      </c>
    </row>
    <row r="20" spans="2:13" x14ac:dyDescent="0.4">
      <c r="B20" s="5">
        <f>B18*5</f>
        <v>469.436952306129</v>
      </c>
      <c r="G20">
        <v>8.94</v>
      </c>
      <c r="H20">
        <v>6.43</v>
      </c>
      <c r="I20">
        <v>13.25</v>
      </c>
    </row>
    <row r="21" spans="2:13" x14ac:dyDescent="0.4">
      <c r="G21">
        <v>10.83</v>
      </c>
      <c r="H21">
        <v>7.84</v>
      </c>
      <c r="I21">
        <v>13.06</v>
      </c>
    </row>
    <row r="22" spans="2:13" x14ac:dyDescent="0.4">
      <c r="D22">
        <f>30*9.97/1000 * 10915000 + 56/500 * (20000000 - 11000000)</f>
        <v>4272676.5</v>
      </c>
      <c r="G22">
        <v>8.91</v>
      </c>
      <c r="H22">
        <v>7.27</v>
      </c>
      <c r="I22">
        <v>11.9</v>
      </c>
    </row>
    <row r="23" spans="2:13" x14ac:dyDescent="0.4">
      <c r="G23">
        <v>11.54</v>
      </c>
      <c r="H23">
        <v>6.54</v>
      </c>
      <c r="I23">
        <v>12.99</v>
      </c>
    </row>
    <row r="24" spans="2:13" x14ac:dyDescent="0.4">
      <c r="G24">
        <f>AVERAGE(G19:G23)</f>
        <v>10.249999999999998</v>
      </c>
      <c r="H24">
        <f>AVERAGE(H19:H23)</f>
        <v>7.1719999999999997</v>
      </c>
    </row>
    <row r="25" spans="2:13" x14ac:dyDescent="0.4">
      <c r="L25" t="s">
        <v>19</v>
      </c>
      <c r="M25" t="s">
        <v>20</v>
      </c>
    </row>
    <row r="26" spans="2:13" x14ac:dyDescent="0.4">
      <c r="K26" s="1">
        <v>75000000</v>
      </c>
      <c r="L26">
        <v>554</v>
      </c>
      <c r="M26">
        <v>512</v>
      </c>
    </row>
    <row r="27" spans="2:13" x14ac:dyDescent="0.4">
      <c r="C27">
        <f>8000/8760</f>
        <v>0.91324200913242004</v>
      </c>
      <c r="D27">
        <f>75000000*C27</f>
        <v>68493150.684931502</v>
      </c>
      <c r="K27" s="1">
        <v>60000000</v>
      </c>
      <c r="L27">
        <v>466</v>
      </c>
      <c r="M27">
        <v>469</v>
      </c>
    </row>
    <row r="28" spans="2:13" x14ac:dyDescent="0.4">
      <c r="K28" s="1">
        <v>50000000</v>
      </c>
    </row>
    <row r="35" spans="3:3" x14ac:dyDescent="0.4">
      <c r="C35">
        <v>31100802.714906901</v>
      </c>
    </row>
    <row r="38" spans="3:3" x14ac:dyDescent="0.4">
      <c r="C38">
        <f>600000000000*0.568</f>
        <v>340800000000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5002-4104-47EA-804A-FF92F82BB724}">
  <dimension ref="A1:AA26"/>
  <sheetViews>
    <sheetView workbookViewId="0">
      <selection activeCell="G2" sqref="G2"/>
    </sheetView>
  </sheetViews>
  <sheetFormatPr defaultRowHeight="14.6" x14ac:dyDescent="0.4"/>
  <cols>
    <col min="1" max="1" width="6.4609375" bestFit="1" customWidth="1"/>
    <col min="2" max="2" width="18.765625" bestFit="1" customWidth="1"/>
    <col min="3" max="27" width="11.15234375" bestFit="1" customWidth="1"/>
  </cols>
  <sheetData>
    <row r="1" spans="1:27" x14ac:dyDescent="0.4">
      <c r="B1" t="s">
        <v>2</v>
      </c>
      <c r="F1" s="14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27" x14ac:dyDescent="0.4">
      <c r="B2" s="1">
        <v>5000000</v>
      </c>
      <c r="G2">
        <v>30</v>
      </c>
      <c r="H2">
        <v>20</v>
      </c>
      <c r="I2">
        <v>50</v>
      </c>
      <c r="J2">
        <v>60</v>
      </c>
      <c r="K2">
        <v>20</v>
      </c>
    </row>
    <row r="3" spans="1:27" x14ac:dyDescent="0.4">
      <c r="B3" t="s">
        <v>0</v>
      </c>
    </row>
    <row r="4" spans="1:27" x14ac:dyDescent="0.4">
      <c r="B4" s="2">
        <f>-B2*150.12*B2^(-0.311)</f>
        <v>-6194822.8089681538</v>
      </c>
    </row>
    <row r="5" spans="1:27" x14ac:dyDescent="0.4">
      <c r="B5" t="s">
        <v>1</v>
      </c>
    </row>
    <row r="6" spans="1:27" x14ac:dyDescent="0.4">
      <c r="B6" s="2">
        <f>-(B2/8000)*47777*(B2/8000)^(-0.421)-1000000</f>
        <v>-2986247.6949494071</v>
      </c>
    </row>
    <row r="8" spans="1:27" x14ac:dyDescent="0.4">
      <c r="B8" t="s">
        <v>21</v>
      </c>
      <c r="C8" s="1">
        <f>$G$2*9.97/1000 * $B$2*0.588</f>
        <v>879354.00000000012</v>
      </c>
      <c r="D8" s="1">
        <f t="shared" ref="D8:AA8" si="0">$G$2*9.97/1000 * $B$2*0.588</f>
        <v>879354.00000000012</v>
      </c>
      <c r="E8" s="1">
        <f t="shared" si="0"/>
        <v>879354.00000000012</v>
      </c>
      <c r="F8" s="1">
        <f t="shared" si="0"/>
        <v>879354.00000000012</v>
      </c>
      <c r="G8" s="1">
        <f t="shared" si="0"/>
        <v>879354.00000000012</v>
      </c>
      <c r="H8" s="1">
        <f t="shared" si="0"/>
        <v>879354.00000000012</v>
      </c>
      <c r="I8" s="1">
        <f t="shared" si="0"/>
        <v>879354.00000000012</v>
      </c>
      <c r="J8" s="1">
        <f t="shared" si="0"/>
        <v>879354.00000000012</v>
      </c>
      <c r="K8" s="1">
        <f t="shared" si="0"/>
        <v>879354.00000000012</v>
      </c>
      <c r="L8" s="1">
        <f t="shared" si="0"/>
        <v>879354.00000000012</v>
      </c>
      <c r="M8" s="1">
        <f t="shared" si="0"/>
        <v>879354.00000000012</v>
      </c>
      <c r="N8" s="1">
        <f t="shared" si="0"/>
        <v>879354.00000000012</v>
      </c>
      <c r="O8" s="1">
        <f t="shared" si="0"/>
        <v>879354.00000000012</v>
      </c>
      <c r="P8" s="1">
        <f t="shared" si="0"/>
        <v>879354.00000000012</v>
      </c>
      <c r="Q8" s="1">
        <f t="shared" si="0"/>
        <v>879354.00000000012</v>
      </c>
      <c r="R8" s="1">
        <f t="shared" si="0"/>
        <v>879354.00000000012</v>
      </c>
      <c r="S8" s="1">
        <f t="shared" si="0"/>
        <v>879354.00000000012</v>
      </c>
      <c r="T8" s="1">
        <f t="shared" si="0"/>
        <v>879354.00000000012</v>
      </c>
      <c r="U8" s="1">
        <f t="shared" si="0"/>
        <v>879354.00000000012</v>
      </c>
      <c r="V8" s="1">
        <f t="shared" si="0"/>
        <v>879354.00000000012</v>
      </c>
      <c r="W8" s="1">
        <f t="shared" si="0"/>
        <v>879354.00000000012</v>
      </c>
      <c r="X8" s="1">
        <f t="shared" si="0"/>
        <v>879354.00000000012</v>
      </c>
      <c r="Y8" s="1">
        <f t="shared" si="0"/>
        <v>879354.00000000012</v>
      </c>
      <c r="Z8" s="1">
        <f t="shared" si="0"/>
        <v>879354.00000000012</v>
      </c>
      <c r="AA8" s="1">
        <f t="shared" si="0"/>
        <v>879354.00000000012</v>
      </c>
    </row>
    <row r="9" spans="1:27" x14ac:dyDescent="0.4">
      <c r="B9" t="s">
        <v>22</v>
      </c>
      <c r="C9" s="1">
        <f xml:space="preserve"> $H$2/556 * $B$2*(1-0.588)</f>
        <v>74100.719424460432</v>
      </c>
      <c r="D9" s="1">
        <f t="shared" ref="D9:AA9" si="1" xml:space="preserve"> $H$2/556 * $B$2*(1-0.588)</f>
        <v>74100.719424460432</v>
      </c>
      <c r="E9" s="1">
        <f t="shared" si="1"/>
        <v>74100.719424460432</v>
      </c>
      <c r="F9" s="1">
        <f t="shared" si="1"/>
        <v>74100.719424460432</v>
      </c>
      <c r="G9" s="1">
        <f t="shared" si="1"/>
        <v>74100.719424460432</v>
      </c>
      <c r="H9" s="1">
        <f t="shared" si="1"/>
        <v>74100.719424460432</v>
      </c>
      <c r="I9" s="1">
        <f t="shared" si="1"/>
        <v>74100.719424460432</v>
      </c>
      <c r="J9" s="1">
        <f t="shared" si="1"/>
        <v>74100.719424460432</v>
      </c>
      <c r="K9" s="1">
        <f t="shared" si="1"/>
        <v>74100.719424460432</v>
      </c>
      <c r="L9" s="1">
        <f t="shared" si="1"/>
        <v>74100.719424460432</v>
      </c>
      <c r="M9" s="1">
        <f t="shared" si="1"/>
        <v>74100.719424460432</v>
      </c>
      <c r="N9" s="1">
        <f t="shared" si="1"/>
        <v>74100.719424460432</v>
      </c>
      <c r="O9" s="1">
        <f t="shared" si="1"/>
        <v>74100.719424460432</v>
      </c>
      <c r="P9" s="1">
        <f t="shared" si="1"/>
        <v>74100.719424460432</v>
      </c>
      <c r="Q9" s="1">
        <f t="shared" si="1"/>
        <v>74100.719424460432</v>
      </c>
      <c r="R9" s="1">
        <f t="shared" si="1"/>
        <v>74100.719424460432</v>
      </c>
      <c r="S9" s="1">
        <f t="shared" si="1"/>
        <v>74100.719424460432</v>
      </c>
      <c r="T9" s="1">
        <f t="shared" si="1"/>
        <v>74100.719424460432</v>
      </c>
      <c r="U9" s="1">
        <f t="shared" si="1"/>
        <v>74100.719424460432</v>
      </c>
      <c r="V9" s="1">
        <f t="shared" si="1"/>
        <v>74100.719424460432</v>
      </c>
      <c r="W9" s="1">
        <f t="shared" si="1"/>
        <v>74100.719424460432</v>
      </c>
      <c r="X9" s="1">
        <f t="shared" si="1"/>
        <v>74100.719424460432</v>
      </c>
      <c r="Y9" s="1">
        <f t="shared" si="1"/>
        <v>74100.719424460432</v>
      </c>
      <c r="Z9" s="1">
        <f t="shared" si="1"/>
        <v>74100.719424460432</v>
      </c>
      <c r="AA9" s="1">
        <f t="shared" si="1"/>
        <v>74100.719424460432</v>
      </c>
    </row>
    <row r="10" spans="1:27" x14ac:dyDescent="0.4">
      <c r="B10" t="s">
        <v>6</v>
      </c>
      <c r="C10" s="15">
        <f>(94+78)*9.97*3.6*$B$2*0.588*$I$2/1000000</f>
        <v>907493.32799999998</v>
      </c>
      <c r="D10" s="15">
        <f t="shared" ref="D10:AA10" si="2">(94+78)*9.97*3.6*$B$2*0.588*$I$2/1000000</f>
        <v>907493.32799999998</v>
      </c>
      <c r="E10" s="15">
        <f t="shared" si="2"/>
        <v>907493.32799999998</v>
      </c>
      <c r="F10" s="15">
        <f t="shared" si="2"/>
        <v>907493.32799999998</v>
      </c>
      <c r="G10" s="15">
        <f t="shared" si="2"/>
        <v>907493.32799999998</v>
      </c>
      <c r="H10" s="15">
        <f t="shared" si="2"/>
        <v>907493.32799999998</v>
      </c>
      <c r="I10" s="15">
        <f t="shared" si="2"/>
        <v>907493.32799999998</v>
      </c>
      <c r="J10" s="15">
        <f t="shared" si="2"/>
        <v>907493.32799999998</v>
      </c>
      <c r="K10" s="15">
        <f t="shared" si="2"/>
        <v>907493.32799999998</v>
      </c>
      <c r="L10" s="15">
        <f t="shared" si="2"/>
        <v>907493.32799999998</v>
      </c>
      <c r="M10" s="15">
        <f t="shared" si="2"/>
        <v>907493.32799999998</v>
      </c>
      <c r="N10" s="15">
        <f t="shared" si="2"/>
        <v>907493.32799999998</v>
      </c>
      <c r="O10" s="15">
        <f t="shared" si="2"/>
        <v>907493.32799999998</v>
      </c>
      <c r="P10" s="15">
        <f t="shared" si="2"/>
        <v>907493.32799999998</v>
      </c>
      <c r="Q10" s="15">
        <f t="shared" si="2"/>
        <v>907493.32799999998</v>
      </c>
      <c r="R10" s="15">
        <f t="shared" si="2"/>
        <v>907493.32799999998</v>
      </c>
      <c r="S10" s="15">
        <f t="shared" si="2"/>
        <v>907493.32799999998</v>
      </c>
      <c r="T10" s="15">
        <f t="shared" si="2"/>
        <v>907493.32799999998</v>
      </c>
      <c r="U10" s="15">
        <f t="shared" si="2"/>
        <v>907493.32799999998</v>
      </c>
      <c r="V10" s="15">
        <f t="shared" si="2"/>
        <v>907493.32799999998</v>
      </c>
      <c r="W10" s="15">
        <f t="shared" si="2"/>
        <v>907493.32799999998</v>
      </c>
      <c r="X10" s="15">
        <f t="shared" si="2"/>
        <v>907493.32799999998</v>
      </c>
      <c r="Y10" s="15">
        <f t="shared" si="2"/>
        <v>907493.32799999998</v>
      </c>
      <c r="Z10" s="15">
        <f t="shared" si="2"/>
        <v>907493.32799999998</v>
      </c>
      <c r="AA10" s="15">
        <f t="shared" si="2"/>
        <v>907493.32799999998</v>
      </c>
    </row>
    <row r="11" spans="1:27" x14ac:dyDescent="0.4">
      <c r="B11" t="s">
        <v>5</v>
      </c>
      <c r="C11" s="1">
        <v>-510000</v>
      </c>
      <c r="D11" s="1">
        <v>-510000</v>
      </c>
      <c r="E11" s="1">
        <v>-510000</v>
      </c>
      <c r="F11" s="1">
        <v>-510000</v>
      </c>
      <c r="G11" s="1">
        <v>-510000</v>
      </c>
      <c r="H11" s="1">
        <v>-510000</v>
      </c>
      <c r="I11" s="1">
        <v>-510000</v>
      </c>
      <c r="J11" s="1">
        <v>-510000</v>
      </c>
      <c r="K11" s="1">
        <v>-510000</v>
      </c>
      <c r="L11" s="1">
        <v>-510000</v>
      </c>
      <c r="M11" s="1">
        <v>-510000</v>
      </c>
      <c r="N11" s="1">
        <v>-510000</v>
      </c>
      <c r="O11" s="1">
        <v>-510000</v>
      </c>
      <c r="P11" s="1">
        <v>-510000</v>
      </c>
      <c r="Q11" s="1">
        <v>-510000</v>
      </c>
      <c r="R11" s="1">
        <v>-510000</v>
      </c>
      <c r="S11" s="1">
        <v>-510000</v>
      </c>
      <c r="T11" s="1">
        <v>-510000</v>
      </c>
      <c r="U11" s="1">
        <v>-510000</v>
      </c>
      <c r="V11" s="1">
        <v>-510000</v>
      </c>
      <c r="W11" s="1">
        <v>-510000</v>
      </c>
      <c r="X11" s="1">
        <v>-510000</v>
      </c>
      <c r="Y11" s="1">
        <v>-510000</v>
      </c>
      <c r="Z11" s="1">
        <v>-510000</v>
      </c>
      <c r="AA11" s="1">
        <v>-510000</v>
      </c>
    </row>
    <row r="12" spans="1:27" x14ac:dyDescent="0.4">
      <c r="B12" t="s">
        <v>23</v>
      </c>
      <c r="C12" s="4">
        <f>-2.1209*$B$2^(0.8359)</f>
        <v>-843702.27221493528</v>
      </c>
      <c r="D12" s="4">
        <f t="shared" ref="D12:AA12" si="3">-2.1209*$B$2^(0.8359)</f>
        <v>-843702.27221493528</v>
      </c>
      <c r="E12" s="4">
        <f t="shared" si="3"/>
        <v>-843702.27221493528</v>
      </c>
      <c r="F12" s="4">
        <f t="shared" si="3"/>
        <v>-843702.27221493528</v>
      </c>
      <c r="G12" s="4">
        <f t="shared" si="3"/>
        <v>-843702.27221493528</v>
      </c>
      <c r="H12" s="4">
        <f t="shared" si="3"/>
        <v>-843702.27221493528</v>
      </c>
      <c r="I12" s="4">
        <f t="shared" si="3"/>
        <v>-843702.27221493528</v>
      </c>
      <c r="J12" s="4">
        <f t="shared" si="3"/>
        <v>-843702.27221493528</v>
      </c>
      <c r="K12" s="4">
        <f t="shared" si="3"/>
        <v>-843702.27221493528</v>
      </c>
      <c r="L12" s="4">
        <f t="shared" si="3"/>
        <v>-843702.27221493528</v>
      </c>
      <c r="M12" s="4">
        <f t="shared" si="3"/>
        <v>-843702.27221493528</v>
      </c>
      <c r="N12" s="4">
        <f t="shared" si="3"/>
        <v>-843702.27221493528</v>
      </c>
      <c r="O12" s="4">
        <f t="shared" si="3"/>
        <v>-843702.27221493528</v>
      </c>
      <c r="P12" s="4">
        <f t="shared" si="3"/>
        <v>-843702.27221493528</v>
      </c>
      <c r="Q12" s="4">
        <f t="shared" si="3"/>
        <v>-843702.27221493528</v>
      </c>
      <c r="R12" s="4">
        <f t="shared" si="3"/>
        <v>-843702.27221493528</v>
      </c>
      <c r="S12" s="4">
        <f t="shared" si="3"/>
        <v>-843702.27221493528</v>
      </c>
      <c r="T12" s="4">
        <f t="shared" si="3"/>
        <v>-843702.27221493528</v>
      </c>
      <c r="U12" s="4">
        <f t="shared" si="3"/>
        <v>-843702.27221493528</v>
      </c>
      <c r="V12" s="4">
        <f t="shared" si="3"/>
        <v>-843702.27221493528</v>
      </c>
      <c r="W12" s="4">
        <f t="shared" si="3"/>
        <v>-843702.27221493528</v>
      </c>
      <c r="X12" s="4">
        <f t="shared" si="3"/>
        <v>-843702.27221493528</v>
      </c>
      <c r="Y12" s="4">
        <f t="shared" si="3"/>
        <v>-843702.27221493528</v>
      </c>
      <c r="Z12" s="4">
        <f t="shared" si="3"/>
        <v>-843702.27221493528</v>
      </c>
      <c r="AA12" s="4">
        <f t="shared" si="3"/>
        <v>-843702.27221493528</v>
      </c>
    </row>
    <row r="13" spans="1:27" x14ac:dyDescent="0.4">
      <c r="B13" t="s">
        <v>24</v>
      </c>
      <c r="C13" s="4">
        <f>-0.05*$B$2*0.588</f>
        <v>-147000</v>
      </c>
      <c r="D13" s="4">
        <f t="shared" ref="D13:AA13" si="4">-0.05*$B$2*0.588</f>
        <v>-147000</v>
      </c>
      <c r="E13" s="4">
        <f t="shared" si="4"/>
        <v>-147000</v>
      </c>
      <c r="F13" s="4">
        <f t="shared" si="4"/>
        <v>-147000</v>
      </c>
      <c r="G13" s="4">
        <f t="shared" si="4"/>
        <v>-147000</v>
      </c>
      <c r="H13" s="4">
        <f t="shared" si="4"/>
        <v>-147000</v>
      </c>
      <c r="I13" s="4">
        <f t="shared" si="4"/>
        <v>-147000</v>
      </c>
      <c r="J13" s="4">
        <f t="shared" si="4"/>
        <v>-147000</v>
      </c>
      <c r="K13" s="4">
        <f t="shared" si="4"/>
        <v>-147000</v>
      </c>
      <c r="L13" s="4">
        <f t="shared" si="4"/>
        <v>-147000</v>
      </c>
      <c r="M13" s="4">
        <f t="shared" si="4"/>
        <v>-147000</v>
      </c>
      <c r="N13" s="4">
        <f t="shared" si="4"/>
        <v>-147000</v>
      </c>
      <c r="O13" s="4">
        <f t="shared" si="4"/>
        <v>-147000</v>
      </c>
      <c r="P13" s="4">
        <f t="shared" si="4"/>
        <v>-147000</v>
      </c>
      <c r="Q13" s="4">
        <f t="shared" si="4"/>
        <v>-147000</v>
      </c>
      <c r="R13" s="4">
        <f t="shared" si="4"/>
        <v>-147000</v>
      </c>
      <c r="S13" s="4">
        <f t="shared" si="4"/>
        <v>-147000</v>
      </c>
      <c r="T13" s="4">
        <f t="shared" si="4"/>
        <v>-147000</v>
      </c>
      <c r="U13" s="4">
        <f t="shared" si="4"/>
        <v>-147000</v>
      </c>
      <c r="V13" s="4">
        <f t="shared" si="4"/>
        <v>-147000</v>
      </c>
      <c r="W13" s="4">
        <f t="shared" si="4"/>
        <v>-147000</v>
      </c>
      <c r="X13" s="4">
        <f t="shared" si="4"/>
        <v>-147000</v>
      </c>
      <c r="Y13" s="4">
        <f t="shared" si="4"/>
        <v>-147000</v>
      </c>
      <c r="Z13" s="4">
        <f t="shared" si="4"/>
        <v>-147000</v>
      </c>
      <c r="AA13" s="4">
        <f t="shared" si="4"/>
        <v>-147000</v>
      </c>
    </row>
    <row r="14" spans="1:27" x14ac:dyDescent="0.4"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x14ac:dyDescent="0.4">
      <c r="A15" t="s">
        <v>7</v>
      </c>
    </row>
    <row r="16" spans="1:27" x14ac:dyDescent="0.4">
      <c r="A16" s="6">
        <f>IRR(B16:AA16)</f>
        <v>-1.4743091436179023E-3</v>
      </c>
      <c r="B16" s="3">
        <f>B6+B4</f>
        <v>-9181070.50391756</v>
      </c>
      <c r="C16" s="1">
        <f>SUM(C8:C13)</f>
        <v>360245.77520952525</v>
      </c>
      <c r="D16" s="1">
        <f t="shared" ref="D16:AA16" si="5">SUM(D8:D13)</f>
        <v>360245.77520952525</v>
      </c>
      <c r="E16" s="1">
        <f t="shared" si="5"/>
        <v>360245.77520952525</v>
      </c>
      <c r="F16" s="1">
        <f t="shared" si="5"/>
        <v>360245.77520952525</v>
      </c>
      <c r="G16" s="1">
        <f t="shared" si="5"/>
        <v>360245.77520952525</v>
      </c>
      <c r="H16" s="1">
        <f t="shared" si="5"/>
        <v>360245.77520952525</v>
      </c>
      <c r="I16" s="1">
        <f t="shared" si="5"/>
        <v>360245.77520952525</v>
      </c>
      <c r="J16" s="1">
        <f t="shared" si="5"/>
        <v>360245.77520952525</v>
      </c>
      <c r="K16" s="1">
        <f t="shared" si="5"/>
        <v>360245.77520952525</v>
      </c>
      <c r="L16" s="1">
        <f t="shared" si="5"/>
        <v>360245.77520952525</v>
      </c>
      <c r="M16" s="1">
        <f t="shared" si="5"/>
        <v>360245.77520952525</v>
      </c>
      <c r="N16" s="1">
        <f t="shared" si="5"/>
        <v>360245.77520952525</v>
      </c>
      <c r="O16" s="1">
        <f t="shared" si="5"/>
        <v>360245.77520952525</v>
      </c>
      <c r="P16" s="1">
        <f t="shared" si="5"/>
        <v>360245.77520952525</v>
      </c>
      <c r="Q16" s="1">
        <f t="shared" si="5"/>
        <v>360245.77520952525</v>
      </c>
      <c r="R16" s="1">
        <f t="shared" si="5"/>
        <v>360245.77520952525</v>
      </c>
      <c r="S16" s="1">
        <f t="shared" si="5"/>
        <v>360245.77520952525</v>
      </c>
      <c r="T16" s="1">
        <f t="shared" si="5"/>
        <v>360245.77520952525</v>
      </c>
      <c r="U16" s="1">
        <f t="shared" si="5"/>
        <v>360245.77520952525</v>
      </c>
      <c r="V16" s="1">
        <f t="shared" si="5"/>
        <v>360245.77520952525</v>
      </c>
      <c r="W16" s="1">
        <f t="shared" si="5"/>
        <v>360245.77520952525</v>
      </c>
      <c r="X16" s="1">
        <f t="shared" si="5"/>
        <v>360245.77520952525</v>
      </c>
      <c r="Y16" s="1">
        <f t="shared" si="5"/>
        <v>360245.77520952525</v>
      </c>
      <c r="Z16" s="1">
        <f t="shared" si="5"/>
        <v>360245.77520952525</v>
      </c>
      <c r="AA16" s="1">
        <f t="shared" si="5"/>
        <v>360245.77520952525</v>
      </c>
    </row>
    <row r="18" spans="2:12" x14ac:dyDescent="0.4">
      <c r="B18" s="5">
        <f>NPV(0.042,C16:AA16)+B16</f>
        <v>-3670386.6147162328</v>
      </c>
    </row>
    <row r="19" spans="2:12" x14ac:dyDescent="0.4">
      <c r="D19">
        <f>75000000/100</f>
        <v>750000</v>
      </c>
    </row>
    <row r="20" spans="2:12" x14ac:dyDescent="0.4">
      <c r="B20" s="5">
        <f>B18/1000000</f>
        <v>-3.6703866147162327</v>
      </c>
      <c r="D20">
        <f>D19/30</f>
        <v>25000</v>
      </c>
    </row>
    <row r="21" spans="2:12" x14ac:dyDescent="0.4">
      <c r="G21">
        <v>11.03</v>
      </c>
      <c r="H21">
        <v>8.94</v>
      </c>
    </row>
    <row r="22" spans="2:12" x14ac:dyDescent="0.4">
      <c r="B22" s="5">
        <f>B20*5</f>
        <v>-18.351933073581165</v>
      </c>
      <c r="G22">
        <v>8.94</v>
      </c>
      <c r="H22">
        <v>10.83</v>
      </c>
    </row>
    <row r="23" spans="2:12" x14ac:dyDescent="0.4">
      <c r="G23">
        <v>10.83</v>
      </c>
      <c r="H23">
        <v>11.54</v>
      </c>
      <c r="L23">
        <f>250000/9.97</f>
        <v>25075.225677031092</v>
      </c>
    </row>
    <row r="24" spans="2:12" x14ac:dyDescent="0.4">
      <c r="D24">
        <f>30*9.97/1000 * 10915000 + 56/500 * (20000000 - 11000000)</f>
        <v>4272676.5</v>
      </c>
      <c r="G24">
        <v>8.91</v>
      </c>
      <c r="H24">
        <v>8.91</v>
      </c>
    </row>
    <row r="25" spans="2:12" x14ac:dyDescent="0.4">
      <c r="G25">
        <v>11.54</v>
      </c>
      <c r="H25">
        <v>11.03</v>
      </c>
    </row>
    <row r="26" spans="2:12" x14ac:dyDescent="0.4">
      <c r="G26">
        <f>AVERAGE(G21:G25)</f>
        <v>10.249999999999998</v>
      </c>
      <c r="H26">
        <f>AVERAGE(H21:H25)</f>
        <v>10.25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586D-64F1-44F7-8EB4-60CC51F36813}">
  <dimension ref="A1:AA27"/>
  <sheetViews>
    <sheetView tabSelected="1" workbookViewId="0">
      <selection activeCell="L2" sqref="L2"/>
    </sheetView>
  </sheetViews>
  <sheetFormatPr defaultRowHeight="14.6" x14ac:dyDescent="0.4"/>
  <cols>
    <col min="1" max="1" width="6.4609375" bestFit="1" customWidth="1"/>
    <col min="2" max="2" width="18.765625" bestFit="1" customWidth="1"/>
    <col min="3" max="27" width="11.15234375" bestFit="1" customWidth="1"/>
  </cols>
  <sheetData>
    <row r="1" spans="1:27" x14ac:dyDescent="0.4">
      <c r="B1" t="s">
        <v>2</v>
      </c>
      <c r="F1" s="14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27" x14ac:dyDescent="0.4">
      <c r="B2" s="1">
        <v>5000000</v>
      </c>
      <c r="G2">
        <v>30</v>
      </c>
      <c r="H2">
        <v>20</v>
      </c>
      <c r="I2">
        <v>63.2</v>
      </c>
      <c r="J2">
        <v>140</v>
      </c>
      <c r="K2">
        <v>20</v>
      </c>
      <c r="L2">
        <v>210.4</v>
      </c>
    </row>
    <row r="3" spans="1:27" x14ac:dyDescent="0.4">
      <c r="B3" t="s">
        <v>0</v>
      </c>
    </row>
    <row r="4" spans="1:27" x14ac:dyDescent="0.4">
      <c r="B4" s="2">
        <f>-B2*150.12*B2^(-0.311)</f>
        <v>-6194822.8089681538</v>
      </c>
    </row>
    <row r="5" spans="1:27" x14ac:dyDescent="0.4">
      <c r="B5" t="s">
        <v>1</v>
      </c>
    </row>
    <row r="6" spans="1:27" x14ac:dyDescent="0.4">
      <c r="B6" s="2">
        <f>-(B2/8000)*47777*(B2/8000)^(-0.421)-1000000</f>
        <v>-2986247.6949494071</v>
      </c>
    </row>
    <row r="8" spans="1:27" x14ac:dyDescent="0.4">
      <c r="B8" t="s">
        <v>33</v>
      </c>
      <c r="C8" s="1">
        <f>$L$2*0.1*$B$2*0.588*0.4*9.97/1000</f>
        <v>246688.10880000005</v>
      </c>
      <c r="D8" s="1">
        <f t="shared" ref="D8:AA8" si="0">$L$2*0.1*$B$2*0.588*0.4*9.97/1000</f>
        <v>246688.10880000005</v>
      </c>
      <c r="E8" s="1">
        <f t="shared" si="0"/>
        <v>246688.10880000005</v>
      </c>
      <c r="F8" s="1">
        <f t="shared" si="0"/>
        <v>246688.10880000005</v>
      </c>
      <c r="G8" s="1">
        <f t="shared" si="0"/>
        <v>246688.10880000005</v>
      </c>
      <c r="H8" s="1">
        <f t="shared" si="0"/>
        <v>246688.10880000005</v>
      </c>
      <c r="I8" s="1">
        <f t="shared" si="0"/>
        <v>246688.10880000005</v>
      </c>
      <c r="J8" s="1">
        <f t="shared" si="0"/>
        <v>246688.10880000005</v>
      </c>
      <c r="K8" s="1">
        <f t="shared" si="0"/>
        <v>246688.10880000005</v>
      </c>
      <c r="L8" s="1">
        <f t="shared" si="0"/>
        <v>246688.10880000005</v>
      </c>
      <c r="M8" s="1">
        <f t="shared" si="0"/>
        <v>246688.10880000005</v>
      </c>
      <c r="N8" s="1">
        <f t="shared" si="0"/>
        <v>246688.10880000005</v>
      </c>
      <c r="O8" s="1">
        <f t="shared" si="0"/>
        <v>246688.10880000005</v>
      </c>
      <c r="P8" s="1">
        <f t="shared" si="0"/>
        <v>246688.10880000005</v>
      </c>
      <c r="Q8" s="1">
        <f t="shared" si="0"/>
        <v>246688.10880000005</v>
      </c>
      <c r="R8" s="1">
        <f t="shared" si="0"/>
        <v>246688.10880000005</v>
      </c>
      <c r="S8" s="1">
        <f t="shared" si="0"/>
        <v>246688.10880000005</v>
      </c>
      <c r="T8" s="1">
        <f t="shared" si="0"/>
        <v>246688.10880000005</v>
      </c>
      <c r="U8" s="1">
        <f t="shared" si="0"/>
        <v>246688.10880000005</v>
      </c>
      <c r="V8" s="1">
        <f t="shared" si="0"/>
        <v>246688.10880000005</v>
      </c>
      <c r="W8" s="1">
        <f t="shared" si="0"/>
        <v>246688.10880000005</v>
      </c>
      <c r="X8" s="1">
        <f t="shared" si="0"/>
        <v>246688.10880000005</v>
      </c>
      <c r="Y8" s="1">
        <f t="shared" si="0"/>
        <v>246688.10880000005</v>
      </c>
      <c r="Z8" s="1">
        <f t="shared" si="0"/>
        <v>246688.10880000005</v>
      </c>
      <c r="AA8" s="1">
        <f t="shared" si="0"/>
        <v>246688.10880000005</v>
      </c>
    </row>
    <row r="9" spans="1:27" x14ac:dyDescent="0.4">
      <c r="B9" t="s">
        <v>32</v>
      </c>
      <c r="C9" s="1">
        <f>$J$2*0.9*$B$2*0.588*0.4*9.97/1000</f>
        <v>1477314.72</v>
      </c>
      <c r="D9" s="1">
        <f t="shared" ref="D9:AA9" si="1">$J$2*0.9*$B$2*0.588*0.4*9.97/1000</f>
        <v>1477314.72</v>
      </c>
      <c r="E9" s="1">
        <f t="shared" si="1"/>
        <v>1477314.72</v>
      </c>
      <c r="F9" s="1">
        <f t="shared" si="1"/>
        <v>1477314.72</v>
      </c>
      <c r="G9" s="1">
        <f t="shared" si="1"/>
        <v>1477314.72</v>
      </c>
      <c r="H9" s="1">
        <f t="shared" si="1"/>
        <v>1477314.72</v>
      </c>
      <c r="I9" s="1">
        <f t="shared" si="1"/>
        <v>1477314.72</v>
      </c>
      <c r="J9" s="1">
        <f t="shared" si="1"/>
        <v>1477314.72</v>
      </c>
      <c r="K9" s="1">
        <f t="shared" si="1"/>
        <v>1477314.72</v>
      </c>
      <c r="L9" s="1">
        <f t="shared" si="1"/>
        <v>1477314.72</v>
      </c>
      <c r="M9" s="1">
        <f t="shared" si="1"/>
        <v>1477314.72</v>
      </c>
      <c r="N9" s="1">
        <f t="shared" si="1"/>
        <v>1477314.72</v>
      </c>
      <c r="O9" s="1">
        <f t="shared" si="1"/>
        <v>1477314.72</v>
      </c>
      <c r="P9" s="1">
        <f t="shared" si="1"/>
        <v>1477314.72</v>
      </c>
      <c r="Q9" s="1">
        <f t="shared" si="1"/>
        <v>1477314.72</v>
      </c>
      <c r="R9" s="1">
        <f t="shared" si="1"/>
        <v>1477314.72</v>
      </c>
      <c r="S9" s="1">
        <f t="shared" si="1"/>
        <v>1477314.72</v>
      </c>
      <c r="T9" s="1">
        <f t="shared" si="1"/>
        <v>1477314.72</v>
      </c>
      <c r="U9" s="1">
        <f t="shared" si="1"/>
        <v>1477314.72</v>
      </c>
      <c r="V9" s="1">
        <f t="shared" si="1"/>
        <v>1477314.72</v>
      </c>
      <c r="W9" s="1">
        <f t="shared" si="1"/>
        <v>1477314.72</v>
      </c>
      <c r="X9" s="1">
        <f t="shared" si="1"/>
        <v>1477314.72</v>
      </c>
      <c r="Y9" s="1">
        <f t="shared" si="1"/>
        <v>1477314.72</v>
      </c>
      <c r="Z9" s="1">
        <f t="shared" si="1"/>
        <v>1477314.72</v>
      </c>
      <c r="AA9" s="1">
        <f t="shared" si="1"/>
        <v>1477314.72</v>
      </c>
    </row>
    <row r="10" spans="1:27" x14ac:dyDescent="0.4">
      <c r="B10" t="s">
        <v>34</v>
      </c>
      <c r="C10" s="1">
        <f>$K$2*$B$2*0.588*0.4*9.97/1000</f>
        <v>234494.40000000002</v>
      </c>
      <c r="D10" s="1">
        <f t="shared" ref="D10:AA10" si="2">$K$2*$B$2*0.588*0.4*9.97/1000</f>
        <v>234494.40000000002</v>
      </c>
      <c r="E10" s="1">
        <f t="shared" si="2"/>
        <v>234494.40000000002</v>
      </c>
      <c r="F10" s="1">
        <f t="shared" si="2"/>
        <v>234494.40000000002</v>
      </c>
      <c r="G10" s="1">
        <f t="shared" si="2"/>
        <v>234494.40000000002</v>
      </c>
      <c r="H10" s="1">
        <f t="shared" si="2"/>
        <v>234494.40000000002</v>
      </c>
      <c r="I10" s="1">
        <f t="shared" si="2"/>
        <v>234494.40000000002</v>
      </c>
      <c r="J10" s="1">
        <f t="shared" si="2"/>
        <v>234494.40000000002</v>
      </c>
      <c r="K10" s="1">
        <f t="shared" si="2"/>
        <v>234494.40000000002</v>
      </c>
      <c r="L10" s="1">
        <f t="shared" si="2"/>
        <v>234494.40000000002</v>
      </c>
      <c r="M10" s="1">
        <f t="shared" si="2"/>
        <v>234494.40000000002</v>
      </c>
      <c r="N10" s="1">
        <f t="shared" si="2"/>
        <v>234494.40000000002</v>
      </c>
      <c r="O10" s="1">
        <f t="shared" si="2"/>
        <v>234494.40000000002</v>
      </c>
      <c r="P10" s="1">
        <f t="shared" si="2"/>
        <v>234494.40000000002</v>
      </c>
      <c r="Q10" s="1">
        <f t="shared" si="2"/>
        <v>234494.40000000002</v>
      </c>
      <c r="R10" s="1">
        <f t="shared" si="2"/>
        <v>234494.40000000002</v>
      </c>
      <c r="S10" s="1">
        <f t="shared" si="2"/>
        <v>234494.40000000002</v>
      </c>
      <c r="T10" s="1">
        <f t="shared" si="2"/>
        <v>234494.40000000002</v>
      </c>
      <c r="U10" s="1">
        <f t="shared" si="2"/>
        <v>234494.40000000002</v>
      </c>
      <c r="V10" s="1">
        <f t="shared" si="2"/>
        <v>234494.40000000002</v>
      </c>
      <c r="W10" s="1">
        <f t="shared" si="2"/>
        <v>234494.40000000002</v>
      </c>
      <c r="X10" s="1">
        <f t="shared" si="2"/>
        <v>234494.40000000002</v>
      </c>
      <c r="Y10" s="1">
        <f t="shared" si="2"/>
        <v>234494.40000000002</v>
      </c>
      <c r="Z10" s="1">
        <f t="shared" si="2"/>
        <v>234494.40000000002</v>
      </c>
      <c r="AA10" s="1">
        <f t="shared" si="2"/>
        <v>234494.40000000002</v>
      </c>
    </row>
    <row r="11" spans="1:27" x14ac:dyDescent="0.4">
      <c r="B11" t="s">
        <v>35</v>
      </c>
      <c r="C11" s="15">
        <v>150000</v>
      </c>
      <c r="D11" s="15">
        <v>150000</v>
      </c>
      <c r="E11" s="15">
        <v>150000</v>
      </c>
      <c r="F11" s="15">
        <v>150000</v>
      </c>
      <c r="G11" s="15">
        <v>150000</v>
      </c>
      <c r="H11" s="15">
        <v>150000</v>
      </c>
      <c r="I11" s="15">
        <v>150000</v>
      </c>
      <c r="J11" s="15">
        <v>150000</v>
      </c>
      <c r="K11" s="15">
        <v>150000</v>
      </c>
      <c r="L11" s="15">
        <v>150000</v>
      </c>
      <c r="M11" s="15">
        <v>150000</v>
      </c>
      <c r="N11" s="15">
        <v>150000</v>
      </c>
      <c r="O11" s="15">
        <v>150000</v>
      </c>
      <c r="P11" s="15">
        <v>150000</v>
      </c>
      <c r="Q11" s="15">
        <v>150000</v>
      </c>
      <c r="R11" s="15">
        <v>150000</v>
      </c>
      <c r="S11" s="15">
        <v>150000</v>
      </c>
      <c r="T11" s="15">
        <v>150000</v>
      </c>
      <c r="U11" s="15">
        <v>150000</v>
      </c>
      <c r="V11" s="15">
        <v>150000</v>
      </c>
      <c r="W11" s="15">
        <v>150000</v>
      </c>
      <c r="X11" s="15">
        <v>150000</v>
      </c>
      <c r="Y11" s="15">
        <v>150000</v>
      </c>
      <c r="Z11" s="15">
        <v>150000</v>
      </c>
      <c r="AA11" s="15">
        <v>150000</v>
      </c>
    </row>
    <row r="12" spans="1:27" x14ac:dyDescent="0.4">
      <c r="B12" t="s">
        <v>5</v>
      </c>
      <c r="C12" s="1">
        <v>-510000</v>
      </c>
      <c r="D12" s="1">
        <v>-510000</v>
      </c>
      <c r="E12" s="1">
        <v>-510000</v>
      </c>
      <c r="F12" s="1">
        <v>-510000</v>
      </c>
      <c r="G12" s="1">
        <v>-510000</v>
      </c>
      <c r="H12" s="1">
        <v>-510000</v>
      </c>
      <c r="I12" s="1">
        <v>-510000</v>
      </c>
      <c r="J12" s="1">
        <v>-510000</v>
      </c>
      <c r="K12" s="1">
        <v>-510000</v>
      </c>
      <c r="L12" s="1">
        <v>-510000</v>
      </c>
      <c r="M12" s="1">
        <v>-510000</v>
      </c>
      <c r="N12" s="1">
        <v>-510000</v>
      </c>
      <c r="O12" s="1">
        <v>-510000</v>
      </c>
      <c r="P12" s="1">
        <v>-510000</v>
      </c>
      <c r="Q12" s="1">
        <v>-510000</v>
      </c>
      <c r="R12" s="1">
        <v>-510000</v>
      </c>
      <c r="S12" s="1">
        <v>-510000</v>
      </c>
      <c r="T12" s="1">
        <v>-510000</v>
      </c>
      <c r="U12" s="1">
        <v>-510000</v>
      </c>
      <c r="V12" s="1">
        <v>-510000</v>
      </c>
      <c r="W12" s="1">
        <v>-510000</v>
      </c>
      <c r="X12" s="1">
        <v>-510000</v>
      </c>
      <c r="Y12" s="1">
        <v>-510000</v>
      </c>
      <c r="Z12" s="1">
        <v>-510000</v>
      </c>
      <c r="AA12" s="1">
        <v>-510000</v>
      </c>
    </row>
    <row r="13" spans="1:27" x14ac:dyDescent="0.4">
      <c r="B13" t="s">
        <v>23</v>
      </c>
      <c r="C13" s="4">
        <f>-2.1209*$B$2^(0.8359)</f>
        <v>-843702.27221493528</v>
      </c>
      <c r="D13" s="4">
        <f t="shared" ref="D13:AA13" si="3">-2.1209*$B$2^(0.8359)</f>
        <v>-843702.27221493528</v>
      </c>
      <c r="E13" s="4">
        <f t="shared" si="3"/>
        <v>-843702.27221493528</v>
      </c>
      <c r="F13" s="4">
        <f t="shared" si="3"/>
        <v>-843702.27221493528</v>
      </c>
      <c r="G13" s="4">
        <f t="shared" si="3"/>
        <v>-843702.27221493528</v>
      </c>
      <c r="H13" s="4">
        <f t="shared" si="3"/>
        <v>-843702.27221493528</v>
      </c>
      <c r="I13" s="4">
        <f t="shared" si="3"/>
        <v>-843702.27221493528</v>
      </c>
      <c r="J13" s="4">
        <f t="shared" si="3"/>
        <v>-843702.27221493528</v>
      </c>
      <c r="K13" s="4">
        <f t="shared" si="3"/>
        <v>-843702.27221493528</v>
      </c>
      <c r="L13" s="4">
        <f t="shared" si="3"/>
        <v>-843702.27221493528</v>
      </c>
      <c r="M13" s="4">
        <f t="shared" si="3"/>
        <v>-843702.27221493528</v>
      </c>
      <c r="N13" s="4">
        <f t="shared" si="3"/>
        <v>-843702.27221493528</v>
      </c>
      <c r="O13" s="4">
        <f t="shared" si="3"/>
        <v>-843702.27221493528</v>
      </c>
      <c r="P13" s="4">
        <f t="shared" si="3"/>
        <v>-843702.27221493528</v>
      </c>
      <c r="Q13" s="4">
        <f t="shared" si="3"/>
        <v>-843702.27221493528</v>
      </c>
      <c r="R13" s="4">
        <f t="shared" si="3"/>
        <v>-843702.27221493528</v>
      </c>
      <c r="S13" s="4">
        <f t="shared" si="3"/>
        <v>-843702.27221493528</v>
      </c>
      <c r="T13" s="4">
        <f t="shared" si="3"/>
        <v>-843702.27221493528</v>
      </c>
      <c r="U13" s="4">
        <f t="shared" si="3"/>
        <v>-843702.27221493528</v>
      </c>
      <c r="V13" s="4">
        <f t="shared" si="3"/>
        <v>-843702.27221493528</v>
      </c>
      <c r="W13" s="4">
        <f t="shared" si="3"/>
        <v>-843702.27221493528</v>
      </c>
      <c r="X13" s="4">
        <f t="shared" si="3"/>
        <v>-843702.27221493528</v>
      </c>
      <c r="Y13" s="4">
        <f t="shared" si="3"/>
        <v>-843702.27221493528</v>
      </c>
      <c r="Z13" s="4">
        <f t="shared" si="3"/>
        <v>-843702.27221493528</v>
      </c>
      <c r="AA13" s="4">
        <f t="shared" si="3"/>
        <v>-843702.27221493528</v>
      </c>
    </row>
    <row r="14" spans="1:27" x14ac:dyDescent="0.4">
      <c r="B14" t="s">
        <v>24</v>
      </c>
      <c r="C14" s="4">
        <f>-0.05*$B$2*0.588</f>
        <v>-147000</v>
      </c>
      <c r="D14" s="4">
        <f t="shared" ref="D14:AA14" si="4">-0.05*$B$2*0.588</f>
        <v>-147000</v>
      </c>
      <c r="E14" s="4">
        <f t="shared" si="4"/>
        <v>-147000</v>
      </c>
      <c r="F14" s="4">
        <f t="shared" si="4"/>
        <v>-147000</v>
      </c>
      <c r="G14" s="4">
        <f t="shared" si="4"/>
        <v>-147000</v>
      </c>
      <c r="H14" s="4">
        <f t="shared" si="4"/>
        <v>-147000</v>
      </c>
      <c r="I14" s="4">
        <f t="shared" si="4"/>
        <v>-147000</v>
      </c>
      <c r="J14" s="4">
        <f t="shared" si="4"/>
        <v>-147000</v>
      </c>
      <c r="K14" s="4">
        <f t="shared" si="4"/>
        <v>-147000</v>
      </c>
      <c r="L14" s="4">
        <f t="shared" si="4"/>
        <v>-147000</v>
      </c>
      <c r="M14" s="4">
        <f t="shared" si="4"/>
        <v>-147000</v>
      </c>
      <c r="N14" s="4">
        <f t="shared" si="4"/>
        <v>-147000</v>
      </c>
      <c r="O14" s="4">
        <f t="shared" si="4"/>
        <v>-147000</v>
      </c>
      <c r="P14" s="4">
        <f t="shared" si="4"/>
        <v>-147000</v>
      </c>
      <c r="Q14" s="4">
        <f t="shared" si="4"/>
        <v>-147000</v>
      </c>
      <c r="R14" s="4">
        <f t="shared" si="4"/>
        <v>-147000</v>
      </c>
      <c r="S14" s="4">
        <f t="shared" si="4"/>
        <v>-147000</v>
      </c>
      <c r="T14" s="4">
        <f t="shared" si="4"/>
        <v>-147000</v>
      </c>
      <c r="U14" s="4">
        <f t="shared" si="4"/>
        <v>-147000</v>
      </c>
      <c r="V14" s="4">
        <f t="shared" si="4"/>
        <v>-147000</v>
      </c>
      <c r="W14" s="4">
        <f t="shared" si="4"/>
        <v>-147000</v>
      </c>
      <c r="X14" s="4">
        <f t="shared" si="4"/>
        <v>-147000</v>
      </c>
      <c r="Y14" s="4">
        <f t="shared" si="4"/>
        <v>-147000</v>
      </c>
      <c r="Z14" s="4">
        <f t="shared" si="4"/>
        <v>-147000</v>
      </c>
      <c r="AA14" s="4">
        <f t="shared" si="4"/>
        <v>-147000</v>
      </c>
    </row>
    <row r="15" spans="1:27" x14ac:dyDescent="0.4"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x14ac:dyDescent="0.4">
      <c r="A16" t="s">
        <v>7</v>
      </c>
    </row>
    <row r="17" spans="1:27" x14ac:dyDescent="0.4">
      <c r="A17" s="6">
        <f>IRR(B17:AA17)</f>
        <v>4.3208276495525721E-2</v>
      </c>
      <c r="B17" s="3">
        <f>B6+B4</f>
        <v>-9181070.50391756</v>
      </c>
      <c r="C17" s="1">
        <f>SUM(C8:C14)</f>
        <v>607794.95658506488</v>
      </c>
      <c r="D17" s="1">
        <f t="shared" ref="D17:AA17" si="5">SUM(D8:D14)</f>
        <v>607794.95658506488</v>
      </c>
      <c r="E17" s="1">
        <f t="shared" si="5"/>
        <v>607794.95658506488</v>
      </c>
      <c r="F17" s="1">
        <f t="shared" si="5"/>
        <v>607794.95658506488</v>
      </c>
      <c r="G17" s="1">
        <f t="shared" si="5"/>
        <v>607794.95658506488</v>
      </c>
      <c r="H17" s="1">
        <f t="shared" si="5"/>
        <v>607794.95658506488</v>
      </c>
      <c r="I17" s="1">
        <f t="shared" si="5"/>
        <v>607794.95658506488</v>
      </c>
      <c r="J17" s="1">
        <f t="shared" si="5"/>
        <v>607794.95658506488</v>
      </c>
      <c r="K17" s="1">
        <f t="shared" si="5"/>
        <v>607794.95658506488</v>
      </c>
      <c r="L17" s="1">
        <f t="shared" si="5"/>
        <v>607794.95658506488</v>
      </c>
      <c r="M17" s="1">
        <f t="shared" si="5"/>
        <v>607794.95658506488</v>
      </c>
      <c r="N17" s="1">
        <f t="shared" si="5"/>
        <v>607794.95658506488</v>
      </c>
      <c r="O17" s="1">
        <f t="shared" si="5"/>
        <v>607794.95658506488</v>
      </c>
      <c r="P17" s="1">
        <f t="shared" si="5"/>
        <v>607794.95658506488</v>
      </c>
      <c r="Q17" s="1">
        <f t="shared" si="5"/>
        <v>607794.95658506488</v>
      </c>
      <c r="R17" s="1">
        <f t="shared" si="5"/>
        <v>607794.95658506488</v>
      </c>
      <c r="S17" s="1">
        <f t="shared" si="5"/>
        <v>607794.95658506488</v>
      </c>
      <c r="T17" s="1">
        <f t="shared" si="5"/>
        <v>607794.95658506488</v>
      </c>
      <c r="U17" s="1">
        <f t="shared" si="5"/>
        <v>607794.95658506488</v>
      </c>
      <c r="V17" s="1">
        <f t="shared" si="5"/>
        <v>607794.95658506488</v>
      </c>
      <c r="W17" s="1">
        <f t="shared" si="5"/>
        <v>607794.95658506488</v>
      </c>
      <c r="X17" s="1">
        <f t="shared" si="5"/>
        <v>607794.95658506488</v>
      </c>
      <c r="Y17" s="1">
        <f t="shared" si="5"/>
        <v>607794.95658506488</v>
      </c>
      <c r="Z17" s="1">
        <f t="shared" si="5"/>
        <v>607794.95658506488</v>
      </c>
      <c r="AA17" s="1">
        <f t="shared" si="5"/>
        <v>607794.95658506488</v>
      </c>
    </row>
    <row r="19" spans="1:27" x14ac:dyDescent="0.4">
      <c r="B19" s="5">
        <f>NPV(0.042,C17:AA17)+B17</f>
        <v>116376.1441190131</v>
      </c>
    </row>
    <row r="20" spans="1:27" x14ac:dyDescent="0.4">
      <c r="D20">
        <f>75000000/100</f>
        <v>750000</v>
      </c>
    </row>
    <row r="21" spans="1:27" x14ac:dyDescent="0.4">
      <c r="B21" s="5">
        <f>B19/1000000</f>
        <v>0.11637614411901311</v>
      </c>
      <c r="D21">
        <f>D20/30</f>
        <v>25000</v>
      </c>
    </row>
    <row r="22" spans="1:27" x14ac:dyDescent="0.4">
      <c r="G22">
        <v>11.03</v>
      </c>
      <c r="H22">
        <v>8.94</v>
      </c>
    </row>
    <row r="23" spans="1:27" x14ac:dyDescent="0.4">
      <c r="B23" s="5">
        <f>B21*5</f>
        <v>0.58188072059506557</v>
      </c>
      <c r="G23">
        <v>8.94</v>
      </c>
      <c r="H23">
        <v>10.83</v>
      </c>
    </row>
    <row r="24" spans="1:27" x14ac:dyDescent="0.4">
      <c r="G24">
        <v>10.83</v>
      </c>
      <c r="H24">
        <v>11.54</v>
      </c>
      <c r="L24">
        <f>250000/9.97</f>
        <v>25075.225677031092</v>
      </c>
    </row>
    <row r="25" spans="1:27" x14ac:dyDescent="0.4">
      <c r="D25">
        <f>30*9.97/1000 * 10915000 + 56/500 * (20000000 - 11000000)</f>
        <v>4272676.5</v>
      </c>
      <c r="G25">
        <v>8.91</v>
      </c>
      <c r="H25">
        <v>8.91</v>
      </c>
    </row>
    <row r="26" spans="1:27" x14ac:dyDescent="0.4">
      <c r="G26">
        <v>11.54</v>
      </c>
      <c r="H26">
        <v>11.03</v>
      </c>
    </row>
    <row r="27" spans="1:27" x14ac:dyDescent="0.4">
      <c r="G27">
        <f>AVERAGE(G22:G26)</f>
        <v>10.249999999999998</v>
      </c>
      <c r="H27">
        <f>AVERAGE(H22:H26)</f>
        <v>10.25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F392-4C9C-4257-8377-00653A24DB33}">
  <dimension ref="A1:AA26"/>
  <sheetViews>
    <sheetView workbookViewId="0">
      <selection activeCell="C10" sqref="C10"/>
    </sheetView>
  </sheetViews>
  <sheetFormatPr defaultRowHeight="14.6" x14ac:dyDescent="0.4"/>
  <cols>
    <col min="1" max="1" width="6.4609375" bestFit="1" customWidth="1"/>
    <col min="2" max="2" width="18.765625" bestFit="1" customWidth="1"/>
    <col min="3" max="27" width="11.15234375" bestFit="1" customWidth="1"/>
  </cols>
  <sheetData>
    <row r="1" spans="1:27" x14ac:dyDescent="0.4">
      <c r="B1" t="s">
        <v>2</v>
      </c>
      <c r="F1" s="14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27" x14ac:dyDescent="0.4">
      <c r="B2" s="1">
        <v>5000000</v>
      </c>
      <c r="G2">
        <v>30</v>
      </c>
      <c r="H2">
        <v>20</v>
      </c>
      <c r="I2">
        <v>63.2</v>
      </c>
      <c r="J2">
        <v>60</v>
      </c>
      <c r="K2">
        <v>20</v>
      </c>
      <c r="L2">
        <v>194.3</v>
      </c>
    </row>
    <row r="3" spans="1:27" x14ac:dyDescent="0.4">
      <c r="B3" t="s">
        <v>0</v>
      </c>
      <c r="L3" s="16" t="s">
        <v>36</v>
      </c>
    </row>
    <row r="4" spans="1:27" x14ac:dyDescent="0.4">
      <c r="B4" s="2">
        <f>-B2*150.12*B2^(-0.311)</f>
        <v>-6194822.8089681538</v>
      </c>
    </row>
    <row r="5" spans="1:27" x14ac:dyDescent="0.4">
      <c r="B5" t="s">
        <v>1</v>
      </c>
    </row>
    <row r="6" spans="1:27" x14ac:dyDescent="0.4">
      <c r="B6" s="2">
        <v>0</v>
      </c>
    </row>
    <row r="8" spans="1:27" x14ac:dyDescent="0.4">
      <c r="B8" t="s">
        <v>33</v>
      </c>
      <c r="C8" s="1">
        <f>$L$2*0.45*$B$2*0.588*0.4*9.97/1000</f>
        <v>1025150.8932</v>
      </c>
      <c r="D8" s="1">
        <f t="shared" ref="D8:AA8" si="0">$L$2*0.45*$B$2*0.588*0.4*9.97/1000</f>
        <v>1025150.8932</v>
      </c>
      <c r="E8" s="1">
        <f t="shared" si="0"/>
        <v>1025150.8932</v>
      </c>
      <c r="F8" s="1">
        <f t="shared" si="0"/>
        <v>1025150.8932</v>
      </c>
      <c r="G8" s="1">
        <f t="shared" si="0"/>
        <v>1025150.8932</v>
      </c>
      <c r="H8" s="1">
        <f t="shared" si="0"/>
        <v>1025150.8932</v>
      </c>
      <c r="I8" s="1">
        <f t="shared" si="0"/>
        <v>1025150.8932</v>
      </c>
      <c r="J8" s="1">
        <f t="shared" si="0"/>
        <v>1025150.8932</v>
      </c>
      <c r="K8" s="1">
        <f t="shared" si="0"/>
        <v>1025150.8932</v>
      </c>
      <c r="L8" s="1">
        <f t="shared" si="0"/>
        <v>1025150.8932</v>
      </c>
      <c r="M8" s="1">
        <f t="shared" si="0"/>
        <v>1025150.8932</v>
      </c>
      <c r="N8" s="1">
        <f t="shared" si="0"/>
        <v>1025150.8932</v>
      </c>
      <c r="O8" s="1">
        <f t="shared" si="0"/>
        <v>1025150.8932</v>
      </c>
      <c r="P8" s="1">
        <f t="shared" si="0"/>
        <v>1025150.8932</v>
      </c>
      <c r="Q8" s="1">
        <f t="shared" si="0"/>
        <v>1025150.8932</v>
      </c>
      <c r="R8" s="1">
        <f t="shared" si="0"/>
        <v>1025150.8932</v>
      </c>
      <c r="S8" s="1">
        <f t="shared" si="0"/>
        <v>1025150.8932</v>
      </c>
      <c r="T8" s="1">
        <f t="shared" si="0"/>
        <v>1025150.8932</v>
      </c>
      <c r="U8" s="1">
        <f t="shared" si="0"/>
        <v>1025150.8932</v>
      </c>
      <c r="V8" s="1">
        <f t="shared" si="0"/>
        <v>1025150.8932</v>
      </c>
      <c r="W8" s="1">
        <f t="shared" si="0"/>
        <v>1025150.8932</v>
      </c>
      <c r="X8" s="1">
        <f t="shared" si="0"/>
        <v>1025150.8932</v>
      </c>
      <c r="Y8" s="1">
        <f t="shared" si="0"/>
        <v>1025150.8932</v>
      </c>
      <c r="Z8" s="1">
        <f t="shared" si="0"/>
        <v>1025150.8932</v>
      </c>
      <c r="AA8" s="1">
        <f t="shared" si="0"/>
        <v>1025150.8932</v>
      </c>
    </row>
    <row r="9" spans="1:27" x14ac:dyDescent="0.4">
      <c r="B9" t="s">
        <v>32</v>
      </c>
      <c r="C9" s="1">
        <f>$J$2*0.55*$B$2*0.588*0.4*9.97/1000</f>
        <v>386915.76</v>
      </c>
      <c r="D9" s="1">
        <f t="shared" ref="D9:AA9" si="1">$J$2*0.55*$B$2*0.588*0.4*9.97/1000</f>
        <v>386915.76</v>
      </c>
      <c r="E9" s="1">
        <f t="shared" si="1"/>
        <v>386915.76</v>
      </c>
      <c r="F9" s="1">
        <f t="shared" si="1"/>
        <v>386915.76</v>
      </c>
      <c r="G9" s="1">
        <f t="shared" si="1"/>
        <v>386915.76</v>
      </c>
      <c r="H9" s="1">
        <f t="shared" si="1"/>
        <v>386915.76</v>
      </c>
      <c r="I9" s="1">
        <f t="shared" si="1"/>
        <v>386915.76</v>
      </c>
      <c r="J9" s="1">
        <f t="shared" si="1"/>
        <v>386915.76</v>
      </c>
      <c r="K9" s="1">
        <f t="shared" si="1"/>
        <v>386915.76</v>
      </c>
      <c r="L9" s="1">
        <f t="shared" si="1"/>
        <v>386915.76</v>
      </c>
      <c r="M9" s="1">
        <f t="shared" si="1"/>
        <v>386915.76</v>
      </c>
      <c r="N9" s="1">
        <f t="shared" si="1"/>
        <v>386915.76</v>
      </c>
      <c r="O9" s="1">
        <f t="shared" si="1"/>
        <v>386915.76</v>
      </c>
      <c r="P9" s="1">
        <f t="shared" si="1"/>
        <v>386915.76</v>
      </c>
      <c r="Q9" s="1">
        <f t="shared" si="1"/>
        <v>386915.76</v>
      </c>
      <c r="R9" s="1">
        <f t="shared" si="1"/>
        <v>386915.76</v>
      </c>
      <c r="S9" s="1">
        <f t="shared" si="1"/>
        <v>386915.76</v>
      </c>
      <c r="T9" s="1">
        <f t="shared" si="1"/>
        <v>386915.76</v>
      </c>
      <c r="U9" s="1">
        <f t="shared" si="1"/>
        <v>386915.76</v>
      </c>
      <c r="V9" s="1">
        <f t="shared" si="1"/>
        <v>386915.76</v>
      </c>
      <c r="W9" s="1">
        <f t="shared" si="1"/>
        <v>386915.76</v>
      </c>
      <c r="X9" s="1">
        <f t="shared" si="1"/>
        <v>386915.76</v>
      </c>
      <c r="Y9" s="1">
        <f t="shared" si="1"/>
        <v>386915.76</v>
      </c>
      <c r="Z9" s="1">
        <f t="shared" si="1"/>
        <v>386915.76</v>
      </c>
      <c r="AA9" s="1">
        <f t="shared" si="1"/>
        <v>386915.76</v>
      </c>
    </row>
    <row r="10" spans="1:27" x14ac:dyDescent="0.4">
      <c r="B10" t="s">
        <v>34</v>
      </c>
      <c r="C10" s="1">
        <f>$K$2*$B$2*0.588*0.4*9.97/1000</f>
        <v>234494.40000000002</v>
      </c>
      <c r="D10" s="1">
        <f t="shared" ref="D10:AA10" si="2">$K$2*$B$2*0.588*0.4*9.97/1000</f>
        <v>234494.40000000002</v>
      </c>
      <c r="E10" s="1">
        <f t="shared" si="2"/>
        <v>234494.40000000002</v>
      </c>
      <c r="F10" s="1">
        <f t="shared" si="2"/>
        <v>234494.40000000002</v>
      </c>
      <c r="G10" s="1">
        <f t="shared" si="2"/>
        <v>234494.40000000002</v>
      </c>
      <c r="H10" s="1">
        <f t="shared" si="2"/>
        <v>234494.40000000002</v>
      </c>
      <c r="I10" s="1">
        <f t="shared" si="2"/>
        <v>234494.40000000002</v>
      </c>
      <c r="J10" s="1">
        <f t="shared" si="2"/>
        <v>234494.40000000002</v>
      </c>
      <c r="K10" s="1">
        <f t="shared" si="2"/>
        <v>234494.40000000002</v>
      </c>
      <c r="L10" s="1">
        <f t="shared" si="2"/>
        <v>234494.40000000002</v>
      </c>
      <c r="M10" s="1">
        <f t="shared" si="2"/>
        <v>234494.40000000002</v>
      </c>
      <c r="N10" s="1">
        <f t="shared" si="2"/>
        <v>234494.40000000002</v>
      </c>
      <c r="O10" s="1">
        <f t="shared" si="2"/>
        <v>234494.40000000002</v>
      </c>
      <c r="P10" s="1">
        <f t="shared" si="2"/>
        <v>234494.40000000002</v>
      </c>
      <c r="Q10" s="1">
        <f t="shared" si="2"/>
        <v>234494.40000000002</v>
      </c>
      <c r="R10" s="1">
        <f t="shared" si="2"/>
        <v>234494.40000000002</v>
      </c>
      <c r="S10" s="1">
        <f t="shared" si="2"/>
        <v>234494.40000000002</v>
      </c>
      <c r="T10" s="1">
        <f t="shared" si="2"/>
        <v>234494.40000000002</v>
      </c>
      <c r="U10" s="1">
        <f t="shared" si="2"/>
        <v>234494.40000000002</v>
      </c>
      <c r="V10" s="1">
        <f t="shared" si="2"/>
        <v>234494.40000000002</v>
      </c>
      <c r="W10" s="1">
        <f t="shared" si="2"/>
        <v>234494.40000000002</v>
      </c>
      <c r="X10" s="1">
        <f t="shared" si="2"/>
        <v>234494.40000000002</v>
      </c>
      <c r="Y10" s="1">
        <f t="shared" si="2"/>
        <v>234494.40000000002</v>
      </c>
      <c r="Z10" s="1">
        <f t="shared" si="2"/>
        <v>234494.40000000002</v>
      </c>
      <c r="AA10" s="1">
        <f t="shared" si="2"/>
        <v>234494.40000000002</v>
      </c>
    </row>
    <row r="11" spans="1:27" x14ac:dyDescent="0.4">
      <c r="B11" t="s">
        <v>35</v>
      </c>
      <c r="C11" s="15">
        <v>150000</v>
      </c>
      <c r="D11" s="15">
        <v>150000</v>
      </c>
      <c r="E11" s="15">
        <v>150000</v>
      </c>
      <c r="F11" s="15">
        <v>150000</v>
      </c>
      <c r="G11" s="15">
        <v>150000</v>
      </c>
      <c r="H11" s="15">
        <v>150000</v>
      </c>
      <c r="I11" s="15">
        <v>150000</v>
      </c>
      <c r="J11" s="15">
        <v>150000</v>
      </c>
      <c r="K11" s="15">
        <v>150000</v>
      </c>
      <c r="L11" s="15">
        <v>150000</v>
      </c>
      <c r="M11" s="15">
        <v>150000</v>
      </c>
      <c r="N11" s="15">
        <v>150000</v>
      </c>
      <c r="O11" s="15">
        <v>150000</v>
      </c>
      <c r="P11" s="15">
        <v>150000</v>
      </c>
      <c r="Q11" s="15">
        <v>150000</v>
      </c>
      <c r="R11" s="15">
        <v>150000</v>
      </c>
      <c r="S11" s="15">
        <v>150000</v>
      </c>
      <c r="T11" s="15">
        <v>150000</v>
      </c>
      <c r="U11" s="15">
        <v>150000</v>
      </c>
      <c r="V11" s="15">
        <v>150000</v>
      </c>
      <c r="W11" s="15">
        <v>150000</v>
      </c>
      <c r="X11" s="15">
        <v>150000</v>
      </c>
      <c r="Y11" s="15">
        <v>150000</v>
      </c>
      <c r="Z11" s="15">
        <v>150000</v>
      </c>
      <c r="AA11" s="15">
        <v>150000</v>
      </c>
    </row>
    <row r="12" spans="1:27" x14ac:dyDescent="0.4">
      <c r="B12" t="s">
        <v>5</v>
      </c>
      <c r="C12" s="1">
        <v>-510000</v>
      </c>
      <c r="D12" s="1">
        <v>-510000</v>
      </c>
      <c r="E12" s="1">
        <v>-510000</v>
      </c>
      <c r="F12" s="1">
        <v>-510000</v>
      </c>
      <c r="G12" s="1">
        <v>-510000</v>
      </c>
      <c r="H12" s="1">
        <v>-510000</v>
      </c>
      <c r="I12" s="1">
        <v>-510000</v>
      </c>
      <c r="J12" s="1">
        <v>-510000</v>
      </c>
      <c r="K12" s="1">
        <v>-510000</v>
      </c>
      <c r="L12" s="1">
        <v>-510000</v>
      </c>
      <c r="M12" s="1">
        <v>-510000</v>
      </c>
      <c r="N12" s="1">
        <v>-510000</v>
      </c>
      <c r="O12" s="1">
        <v>-510000</v>
      </c>
      <c r="P12" s="1">
        <v>-510000</v>
      </c>
      <c r="Q12" s="1">
        <v>-510000</v>
      </c>
      <c r="R12" s="1">
        <v>-510000</v>
      </c>
      <c r="S12" s="1">
        <v>-510000</v>
      </c>
      <c r="T12" s="1">
        <v>-510000</v>
      </c>
      <c r="U12" s="1">
        <v>-510000</v>
      </c>
      <c r="V12" s="1">
        <v>-510000</v>
      </c>
      <c r="W12" s="1">
        <v>-510000</v>
      </c>
      <c r="X12" s="1">
        <v>-510000</v>
      </c>
      <c r="Y12" s="1">
        <v>-510000</v>
      </c>
      <c r="Z12" s="1">
        <v>-510000</v>
      </c>
      <c r="AA12" s="1">
        <v>-510000</v>
      </c>
    </row>
    <row r="13" spans="1:27" x14ac:dyDescent="0.4">
      <c r="B13" t="s">
        <v>23</v>
      </c>
      <c r="C13" s="4">
        <f>-2.1209*$B$2^(0.8359)</f>
        <v>-843702.27221493528</v>
      </c>
      <c r="D13" s="4">
        <f t="shared" ref="D13:AA13" si="3">-2.1209*$B$2^(0.8359)</f>
        <v>-843702.27221493528</v>
      </c>
      <c r="E13" s="4">
        <f t="shared" si="3"/>
        <v>-843702.27221493528</v>
      </c>
      <c r="F13" s="4">
        <f t="shared" si="3"/>
        <v>-843702.27221493528</v>
      </c>
      <c r="G13" s="4">
        <f t="shared" si="3"/>
        <v>-843702.27221493528</v>
      </c>
      <c r="H13" s="4">
        <f t="shared" si="3"/>
        <v>-843702.27221493528</v>
      </c>
      <c r="I13" s="4">
        <f t="shared" si="3"/>
        <v>-843702.27221493528</v>
      </c>
      <c r="J13" s="4">
        <f t="shared" si="3"/>
        <v>-843702.27221493528</v>
      </c>
      <c r="K13" s="4">
        <f t="shared" si="3"/>
        <v>-843702.27221493528</v>
      </c>
      <c r="L13" s="4">
        <f t="shared" si="3"/>
        <v>-843702.27221493528</v>
      </c>
      <c r="M13" s="4">
        <f t="shared" si="3"/>
        <v>-843702.27221493528</v>
      </c>
      <c r="N13" s="4">
        <f t="shared" si="3"/>
        <v>-843702.27221493528</v>
      </c>
      <c r="O13" s="4">
        <f t="shared" si="3"/>
        <v>-843702.27221493528</v>
      </c>
      <c r="P13" s="4">
        <f t="shared" si="3"/>
        <v>-843702.27221493528</v>
      </c>
      <c r="Q13" s="4">
        <f t="shared" si="3"/>
        <v>-843702.27221493528</v>
      </c>
      <c r="R13" s="4">
        <f t="shared" si="3"/>
        <v>-843702.27221493528</v>
      </c>
      <c r="S13" s="4">
        <f t="shared" si="3"/>
        <v>-843702.27221493528</v>
      </c>
      <c r="T13" s="4">
        <f t="shared" si="3"/>
        <v>-843702.27221493528</v>
      </c>
      <c r="U13" s="4">
        <f t="shared" si="3"/>
        <v>-843702.27221493528</v>
      </c>
      <c r="V13" s="4">
        <f t="shared" si="3"/>
        <v>-843702.27221493528</v>
      </c>
      <c r="W13" s="4">
        <f t="shared" si="3"/>
        <v>-843702.27221493528</v>
      </c>
      <c r="X13" s="4">
        <f t="shared" si="3"/>
        <v>-843702.27221493528</v>
      </c>
      <c r="Y13" s="4">
        <f t="shared" si="3"/>
        <v>-843702.27221493528</v>
      </c>
      <c r="Z13" s="4">
        <f t="shared" si="3"/>
        <v>-843702.27221493528</v>
      </c>
      <c r="AA13" s="4">
        <f t="shared" si="3"/>
        <v>-843702.27221493528</v>
      </c>
    </row>
    <row r="14" spans="1:27" x14ac:dyDescent="0.4"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x14ac:dyDescent="0.4">
      <c r="A15" t="s">
        <v>7</v>
      </c>
    </row>
    <row r="16" spans="1:27" x14ac:dyDescent="0.4">
      <c r="A16" s="6">
        <f>IRR(B16:AA16)</f>
        <v>5.0752505313423679E-2</v>
      </c>
      <c r="B16" s="3">
        <f>B6+B4</f>
        <v>-6194822.8089681538</v>
      </c>
      <c r="C16" s="1">
        <f>SUM(C8:C13)</f>
        <v>442858.78098506469</v>
      </c>
      <c r="D16" s="1">
        <f>SUM(D8:D13)</f>
        <v>442858.78098506469</v>
      </c>
      <c r="E16" s="1">
        <f>SUM(E8:E13)</f>
        <v>442858.78098506469</v>
      </c>
      <c r="F16" s="1">
        <f>SUM(F8:F13)</f>
        <v>442858.78098506469</v>
      </c>
      <c r="G16" s="1">
        <f>SUM(G8:G13)</f>
        <v>442858.78098506469</v>
      </c>
      <c r="H16" s="1">
        <f>SUM(H8:H13)</f>
        <v>442858.78098506469</v>
      </c>
      <c r="I16" s="1">
        <f>SUM(I8:I13)</f>
        <v>442858.78098506469</v>
      </c>
      <c r="J16" s="1">
        <f>SUM(J8:J13)</f>
        <v>442858.78098506469</v>
      </c>
      <c r="K16" s="1">
        <f>SUM(K8:K13)</f>
        <v>442858.78098506469</v>
      </c>
      <c r="L16" s="1">
        <f>SUM(L8:L13)</f>
        <v>442858.78098506469</v>
      </c>
      <c r="M16" s="1">
        <f>SUM(M8:M13)</f>
        <v>442858.78098506469</v>
      </c>
      <c r="N16" s="1">
        <f>SUM(N8:N13)</f>
        <v>442858.78098506469</v>
      </c>
      <c r="O16" s="1">
        <f>SUM(O8:O13)</f>
        <v>442858.78098506469</v>
      </c>
      <c r="P16" s="1">
        <f>SUM(P8:P13)</f>
        <v>442858.78098506469</v>
      </c>
      <c r="Q16" s="1">
        <f>SUM(Q8:Q13)</f>
        <v>442858.78098506469</v>
      </c>
      <c r="R16" s="1">
        <f>SUM(R8:R13)</f>
        <v>442858.78098506469</v>
      </c>
      <c r="S16" s="1">
        <f>SUM(S8:S13)</f>
        <v>442858.78098506469</v>
      </c>
      <c r="T16" s="1">
        <f>SUM(T8:T13)</f>
        <v>442858.78098506469</v>
      </c>
      <c r="U16" s="1">
        <f>SUM(U8:U13)</f>
        <v>442858.78098506469</v>
      </c>
      <c r="V16" s="1">
        <f>SUM(V8:V13)</f>
        <v>442858.78098506469</v>
      </c>
      <c r="W16" s="1">
        <f>SUM(W8:W13)</f>
        <v>442858.78098506469</v>
      </c>
      <c r="X16" s="1">
        <f>SUM(X8:X13)</f>
        <v>442858.78098506469</v>
      </c>
      <c r="Y16" s="1">
        <f>SUM(Y8:Y13)</f>
        <v>442858.78098506469</v>
      </c>
      <c r="Z16" s="1">
        <f>SUM(Z8:Z13)</f>
        <v>442858.78098506469</v>
      </c>
      <c r="AA16" s="1">
        <f>SUM(AA8:AA13)</f>
        <v>442858.78098506469</v>
      </c>
    </row>
    <row r="18" spans="2:12" x14ac:dyDescent="0.4">
      <c r="B18" s="5">
        <f>NPV(0.042,C16:AA16)+B16</f>
        <v>579593.20783682726</v>
      </c>
    </row>
    <row r="19" spans="2:12" x14ac:dyDescent="0.4">
      <c r="D19">
        <f>75000000/100</f>
        <v>750000</v>
      </c>
    </row>
    <row r="20" spans="2:12" x14ac:dyDescent="0.4">
      <c r="B20" s="5">
        <f>B18/1000000</f>
        <v>0.57959320783682722</v>
      </c>
      <c r="D20">
        <f>D19/30</f>
        <v>25000</v>
      </c>
    </row>
    <row r="21" spans="2:12" x14ac:dyDescent="0.4">
      <c r="G21">
        <v>11.03</v>
      </c>
      <c r="H21">
        <v>8.94</v>
      </c>
    </row>
    <row r="22" spans="2:12" x14ac:dyDescent="0.4">
      <c r="B22" s="5">
        <f>B20*5</f>
        <v>2.8979660391841362</v>
      </c>
      <c r="G22">
        <v>8.94</v>
      </c>
      <c r="H22">
        <v>10.83</v>
      </c>
    </row>
    <row r="23" spans="2:12" x14ac:dyDescent="0.4">
      <c r="G23">
        <v>10.83</v>
      </c>
      <c r="H23">
        <v>11.54</v>
      </c>
      <c r="L23">
        <f>250000/9.97</f>
        <v>25075.225677031092</v>
      </c>
    </row>
    <row r="24" spans="2:12" x14ac:dyDescent="0.4">
      <c r="D24">
        <f>30*9.97/1000 * 10915000 + 56/500 * (20000000 - 11000000)</f>
        <v>4272676.5</v>
      </c>
      <c r="G24">
        <v>8.91</v>
      </c>
      <c r="H24">
        <v>8.91</v>
      </c>
    </row>
    <row r="25" spans="2:12" x14ac:dyDescent="0.4">
      <c r="G25">
        <v>11.54</v>
      </c>
      <c r="H25">
        <v>11.03</v>
      </c>
    </row>
    <row r="26" spans="2:12" x14ac:dyDescent="0.4">
      <c r="G26">
        <f>AVERAGE(G21:G25)</f>
        <v>10.249999999999998</v>
      </c>
      <c r="H26">
        <f>AVERAGE(H21:H25)</f>
        <v>10.25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0A6C-B1D6-4A7C-B04A-61913DB20C99}">
  <dimension ref="A1:AA24"/>
  <sheetViews>
    <sheetView workbookViewId="0">
      <selection activeCell="G28" sqref="G28"/>
    </sheetView>
  </sheetViews>
  <sheetFormatPr defaultRowHeight="14.6" x14ac:dyDescent="0.4"/>
  <cols>
    <col min="1" max="1" width="6.4609375" bestFit="1" customWidth="1"/>
    <col min="2" max="2" width="18.765625" bestFit="1" customWidth="1"/>
    <col min="3" max="27" width="11.15234375" bestFit="1" customWidth="1"/>
  </cols>
  <sheetData>
    <row r="1" spans="1:27" x14ac:dyDescent="0.4">
      <c r="B1" t="s">
        <v>2</v>
      </c>
      <c r="F1" s="14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27" x14ac:dyDescent="0.4">
      <c r="B2" s="1">
        <v>5000000</v>
      </c>
      <c r="G2">
        <v>30</v>
      </c>
      <c r="H2">
        <v>20</v>
      </c>
      <c r="I2">
        <v>63.2</v>
      </c>
      <c r="J2">
        <v>60</v>
      </c>
      <c r="K2">
        <v>20</v>
      </c>
      <c r="L2">
        <v>0</v>
      </c>
    </row>
    <row r="3" spans="1:27" x14ac:dyDescent="0.4">
      <c r="B3" t="s">
        <v>0</v>
      </c>
      <c r="J3">
        <v>225</v>
      </c>
      <c r="K3">
        <v>115</v>
      </c>
      <c r="L3" s="16" t="s">
        <v>36</v>
      </c>
    </row>
    <row r="4" spans="1:27" x14ac:dyDescent="0.4">
      <c r="B4" s="2">
        <f>-B2*150.12*B2^(-0.311)</f>
        <v>-6194822.8089681538</v>
      </c>
    </row>
    <row r="5" spans="1:27" x14ac:dyDescent="0.4">
      <c r="B5" t="s">
        <v>1</v>
      </c>
    </row>
    <row r="6" spans="1:27" x14ac:dyDescent="0.4">
      <c r="B6" s="2">
        <v>0</v>
      </c>
    </row>
    <row r="8" spans="1:27" x14ac:dyDescent="0.4">
      <c r="B8" t="s">
        <v>32</v>
      </c>
      <c r="C8" s="1">
        <f>$J$2*$B$2*0.588*0.4*9.97/1000</f>
        <v>703483.2</v>
      </c>
      <c r="D8" s="1">
        <f t="shared" ref="D8:AA8" si="0">$J$2*0.55*$B$2*0.588*0.4*9.97/1000</f>
        <v>386915.76</v>
      </c>
      <c r="E8" s="1">
        <f t="shared" si="0"/>
        <v>386915.76</v>
      </c>
      <c r="F8" s="1">
        <f t="shared" si="0"/>
        <v>386915.76</v>
      </c>
      <c r="G8" s="1">
        <f t="shared" si="0"/>
        <v>386915.76</v>
      </c>
      <c r="H8" s="1">
        <f t="shared" si="0"/>
        <v>386915.76</v>
      </c>
      <c r="I8" s="1">
        <f t="shared" si="0"/>
        <v>386915.76</v>
      </c>
      <c r="J8" s="1">
        <f t="shared" si="0"/>
        <v>386915.76</v>
      </c>
      <c r="K8" s="1">
        <f t="shared" si="0"/>
        <v>386915.76</v>
      </c>
      <c r="L8" s="1">
        <f t="shared" si="0"/>
        <v>386915.76</v>
      </c>
      <c r="M8" s="1">
        <f t="shared" si="0"/>
        <v>386915.76</v>
      </c>
      <c r="N8" s="1">
        <f t="shared" si="0"/>
        <v>386915.76</v>
      </c>
      <c r="O8" s="1">
        <f t="shared" si="0"/>
        <v>386915.76</v>
      </c>
      <c r="P8" s="1">
        <f t="shared" si="0"/>
        <v>386915.76</v>
      </c>
      <c r="Q8" s="1">
        <f t="shared" si="0"/>
        <v>386915.76</v>
      </c>
      <c r="R8" s="1">
        <f t="shared" si="0"/>
        <v>386915.76</v>
      </c>
      <c r="S8" s="1">
        <f t="shared" si="0"/>
        <v>386915.76</v>
      </c>
      <c r="T8" s="1">
        <f t="shared" si="0"/>
        <v>386915.76</v>
      </c>
      <c r="U8" s="1">
        <f t="shared" si="0"/>
        <v>386915.76</v>
      </c>
      <c r="V8" s="1">
        <f t="shared" si="0"/>
        <v>386915.76</v>
      </c>
      <c r="W8" s="1">
        <f t="shared" si="0"/>
        <v>386915.76</v>
      </c>
      <c r="X8" s="1">
        <f t="shared" si="0"/>
        <v>386915.76</v>
      </c>
      <c r="Y8" s="1">
        <f t="shared" si="0"/>
        <v>386915.76</v>
      </c>
      <c r="Z8" s="1">
        <f t="shared" si="0"/>
        <v>386915.76</v>
      </c>
      <c r="AA8" s="1">
        <f t="shared" si="0"/>
        <v>386915.76</v>
      </c>
    </row>
    <row r="9" spans="1:27" x14ac:dyDescent="0.4">
      <c r="B9" t="s">
        <v>34</v>
      </c>
      <c r="C9" s="1">
        <f>$K$2*$B$2*0.588*0.4*9.97/1000</f>
        <v>234494.40000000002</v>
      </c>
      <c r="D9" s="1">
        <f t="shared" ref="D9:AA9" si="1">$K$2*$B$2*0.588*0.4*9.97/1000</f>
        <v>234494.40000000002</v>
      </c>
      <c r="E9" s="1">
        <f t="shared" si="1"/>
        <v>234494.40000000002</v>
      </c>
      <c r="F9" s="1">
        <f t="shared" si="1"/>
        <v>234494.40000000002</v>
      </c>
      <c r="G9" s="1">
        <f t="shared" si="1"/>
        <v>234494.40000000002</v>
      </c>
      <c r="H9" s="1">
        <f t="shared" si="1"/>
        <v>234494.40000000002</v>
      </c>
      <c r="I9" s="1">
        <f t="shared" si="1"/>
        <v>234494.40000000002</v>
      </c>
      <c r="J9" s="1">
        <f t="shared" si="1"/>
        <v>234494.40000000002</v>
      </c>
      <c r="K9" s="1">
        <f t="shared" si="1"/>
        <v>234494.40000000002</v>
      </c>
      <c r="L9" s="1">
        <f t="shared" si="1"/>
        <v>234494.40000000002</v>
      </c>
      <c r="M9" s="1">
        <f t="shared" si="1"/>
        <v>234494.40000000002</v>
      </c>
      <c r="N9" s="1">
        <f t="shared" si="1"/>
        <v>234494.40000000002</v>
      </c>
      <c r="O9" s="1">
        <f t="shared" si="1"/>
        <v>234494.40000000002</v>
      </c>
      <c r="P9" s="1">
        <f t="shared" si="1"/>
        <v>234494.40000000002</v>
      </c>
      <c r="Q9" s="1">
        <f t="shared" si="1"/>
        <v>234494.40000000002</v>
      </c>
      <c r="R9" s="1">
        <f t="shared" si="1"/>
        <v>234494.40000000002</v>
      </c>
      <c r="S9" s="1">
        <f t="shared" si="1"/>
        <v>234494.40000000002</v>
      </c>
      <c r="T9" s="1">
        <f t="shared" si="1"/>
        <v>234494.40000000002</v>
      </c>
      <c r="U9" s="1">
        <f t="shared" si="1"/>
        <v>234494.40000000002</v>
      </c>
      <c r="V9" s="1">
        <f t="shared" si="1"/>
        <v>234494.40000000002</v>
      </c>
      <c r="W9" s="1">
        <f t="shared" si="1"/>
        <v>234494.40000000002</v>
      </c>
      <c r="X9" s="1">
        <f t="shared" si="1"/>
        <v>234494.40000000002</v>
      </c>
      <c r="Y9" s="1">
        <f t="shared" si="1"/>
        <v>234494.40000000002</v>
      </c>
      <c r="Z9" s="1">
        <f t="shared" si="1"/>
        <v>234494.40000000002</v>
      </c>
      <c r="AA9" s="1">
        <f t="shared" si="1"/>
        <v>234494.40000000002</v>
      </c>
    </row>
    <row r="10" spans="1:27" x14ac:dyDescent="0.4">
      <c r="B10" t="s">
        <v>5</v>
      </c>
      <c r="C10" s="1">
        <v>-510000</v>
      </c>
      <c r="D10" s="1">
        <v>-510000</v>
      </c>
      <c r="E10" s="1">
        <v>-510000</v>
      </c>
      <c r="F10" s="1">
        <v>-510000</v>
      </c>
      <c r="G10" s="1">
        <v>-510000</v>
      </c>
      <c r="H10" s="1">
        <v>-510000</v>
      </c>
      <c r="I10" s="1">
        <v>-510000</v>
      </c>
      <c r="J10" s="1">
        <v>-510000</v>
      </c>
      <c r="K10" s="1">
        <v>-510000</v>
      </c>
      <c r="L10" s="1">
        <v>-510000</v>
      </c>
      <c r="M10" s="1">
        <v>-510000</v>
      </c>
      <c r="N10" s="1">
        <v>-510000</v>
      </c>
      <c r="O10" s="1">
        <v>-510000</v>
      </c>
      <c r="P10" s="1">
        <v>-510000</v>
      </c>
      <c r="Q10" s="1">
        <v>-510000</v>
      </c>
      <c r="R10" s="1">
        <v>-510000</v>
      </c>
      <c r="S10" s="1">
        <v>-510000</v>
      </c>
      <c r="T10" s="1">
        <v>-510000</v>
      </c>
      <c r="U10" s="1">
        <v>-510000</v>
      </c>
      <c r="V10" s="1">
        <v>-510000</v>
      </c>
      <c r="W10" s="1">
        <v>-510000</v>
      </c>
      <c r="X10" s="1">
        <v>-510000</v>
      </c>
      <c r="Y10" s="1">
        <v>-510000</v>
      </c>
      <c r="Z10" s="1">
        <v>-510000</v>
      </c>
      <c r="AA10" s="1">
        <v>-510000</v>
      </c>
    </row>
    <row r="11" spans="1:27" x14ac:dyDescent="0.4">
      <c r="B11" t="s">
        <v>23</v>
      </c>
      <c r="C11" s="4">
        <f>-2.1209*$B$2^(0.8359)</f>
        <v>-843702.27221493528</v>
      </c>
      <c r="D11" s="4">
        <f t="shared" ref="D11:AA11" si="2">-2.1209*$B$2^(0.8359)</f>
        <v>-843702.27221493528</v>
      </c>
      <c r="E11" s="4">
        <f t="shared" si="2"/>
        <v>-843702.27221493528</v>
      </c>
      <c r="F11" s="4">
        <f t="shared" si="2"/>
        <v>-843702.27221493528</v>
      </c>
      <c r="G11" s="4">
        <f t="shared" si="2"/>
        <v>-843702.27221493528</v>
      </c>
      <c r="H11" s="4">
        <f t="shared" si="2"/>
        <v>-843702.27221493528</v>
      </c>
      <c r="I11" s="4">
        <f t="shared" si="2"/>
        <v>-843702.27221493528</v>
      </c>
      <c r="J11" s="4">
        <f t="shared" si="2"/>
        <v>-843702.27221493528</v>
      </c>
      <c r="K11" s="4">
        <f t="shared" si="2"/>
        <v>-843702.27221493528</v>
      </c>
      <c r="L11" s="4">
        <f t="shared" si="2"/>
        <v>-843702.27221493528</v>
      </c>
      <c r="M11" s="4">
        <f t="shared" si="2"/>
        <v>-843702.27221493528</v>
      </c>
      <c r="N11" s="4">
        <f t="shared" si="2"/>
        <v>-843702.27221493528</v>
      </c>
      <c r="O11" s="4">
        <f t="shared" si="2"/>
        <v>-843702.27221493528</v>
      </c>
      <c r="P11" s="4">
        <f t="shared" si="2"/>
        <v>-843702.27221493528</v>
      </c>
      <c r="Q11" s="4">
        <f t="shared" si="2"/>
        <v>-843702.27221493528</v>
      </c>
      <c r="R11" s="4">
        <f t="shared" si="2"/>
        <v>-843702.27221493528</v>
      </c>
      <c r="S11" s="4">
        <f t="shared" si="2"/>
        <v>-843702.27221493528</v>
      </c>
      <c r="T11" s="4">
        <f t="shared" si="2"/>
        <v>-843702.27221493528</v>
      </c>
      <c r="U11" s="4">
        <f t="shared" si="2"/>
        <v>-843702.27221493528</v>
      </c>
      <c r="V11" s="4">
        <f t="shared" si="2"/>
        <v>-843702.27221493528</v>
      </c>
      <c r="W11" s="4">
        <f t="shared" si="2"/>
        <v>-843702.27221493528</v>
      </c>
      <c r="X11" s="4">
        <f t="shared" si="2"/>
        <v>-843702.27221493528</v>
      </c>
      <c r="Y11" s="4">
        <f t="shared" si="2"/>
        <v>-843702.27221493528</v>
      </c>
      <c r="Z11" s="4">
        <f t="shared" si="2"/>
        <v>-843702.27221493528</v>
      </c>
      <c r="AA11" s="4">
        <f t="shared" si="2"/>
        <v>-843702.27221493528</v>
      </c>
    </row>
    <row r="12" spans="1:27" x14ac:dyDescent="0.4"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x14ac:dyDescent="0.4">
      <c r="A13" t="s">
        <v>7</v>
      </c>
    </row>
    <row r="14" spans="1:27" x14ac:dyDescent="0.4">
      <c r="A14" s="6" t="e">
        <f>IRR(B14:AA14)</f>
        <v>#NUM!</v>
      </c>
      <c r="B14" s="3">
        <f>B6+B4</f>
        <v>-6194822.8089681538</v>
      </c>
      <c r="C14" s="1">
        <f>SUM(C8:C11)</f>
        <v>-415724.6722149353</v>
      </c>
      <c r="D14" s="1">
        <f>SUM(D8:D11)</f>
        <v>-732292.11221493524</v>
      </c>
      <c r="E14" s="1">
        <f>SUM(E8:E11)</f>
        <v>-732292.11221493524</v>
      </c>
      <c r="F14" s="1">
        <f>SUM(F8:F11)</f>
        <v>-732292.11221493524</v>
      </c>
      <c r="G14" s="1">
        <f>SUM(G8:G11)</f>
        <v>-732292.11221493524</v>
      </c>
      <c r="H14" s="1">
        <f>SUM(H8:H11)</f>
        <v>-732292.11221493524</v>
      </c>
      <c r="I14" s="1">
        <f>SUM(I8:I11)</f>
        <v>-732292.11221493524</v>
      </c>
      <c r="J14" s="1">
        <f>SUM(J8:J11)</f>
        <v>-732292.11221493524</v>
      </c>
      <c r="K14" s="1">
        <f>SUM(K8:K11)</f>
        <v>-732292.11221493524</v>
      </c>
      <c r="L14" s="1">
        <f>SUM(L8:L11)</f>
        <v>-732292.11221493524</v>
      </c>
      <c r="M14" s="1">
        <f>SUM(M8:M11)</f>
        <v>-732292.11221493524</v>
      </c>
      <c r="N14" s="1">
        <f>SUM(N8:N11)</f>
        <v>-732292.11221493524</v>
      </c>
      <c r="O14" s="1">
        <f>SUM(O8:O11)</f>
        <v>-732292.11221493524</v>
      </c>
      <c r="P14" s="1">
        <f>SUM(P8:P11)</f>
        <v>-732292.11221493524</v>
      </c>
      <c r="Q14" s="1">
        <f>SUM(Q8:Q11)</f>
        <v>-732292.11221493524</v>
      </c>
      <c r="R14" s="1">
        <f>SUM(R8:R11)</f>
        <v>-732292.11221493524</v>
      </c>
      <c r="S14" s="1">
        <f>SUM(S8:S11)</f>
        <v>-732292.11221493524</v>
      </c>
      <c r="T14" s="1">
        <f>SUM(T8:T11)</f>
        <v>-732292.11221493524</v>
      </c>
      <c r="U14" s="1">
        <f>SUM(U8:U11)</f>
        <v>-732292.11221493524</v>
      </c>
      <c r="V14" s="1">
        <f>SUM(V8:V11)</f>
        <v>-732292.11221493524</v>
      </c>
      <c r="W14" s="1">
        <f>SUM(W8:W11)</f>
        <v>-732292.11221493524</v>
      </c>
      <c r="X14" s="1">
        <f>SUM(X8:X11)</f>
        <v>-732292.11221493524</v>
      </c>
      <c r="Y14" s="1">
        <f>SUM(Y8:Y11)</f>
        <v>-732292.11221493524</v>
      </c>
      <c r="Z14" s="1">
        <f>SUM(Z8:Z11)</f>
        <v>-732292.11221493524</v>
      </c>
      <c r="AA14" s="1">
        <f>SUM(AA8:AA11)</f>
        <v>-732292.11221493524</v>
      </c>
    </row>
    <row r="16" spans="1:27" x14ac:dyDescent="0.4">
      <c r="B16" s="5">
        <f>NPV(0.042,C14:AA14)+B14</f>
        <v>-17092896.39690553</v>
      </c>
    </row>
    <row r="17" spans="2:12" x14ac:dyDescent="0.4">
      <c r="D17">
        <f>75000000/100</f>
        <v>750000</v>
      </c>
    </row>
    <row r="18" spans="2:12" x14ac:dyDescent="0.4">
      <c r="B18" s="5">
        <f>B16/1000000</f>
        <v>-17.09289639690553</v>
      </c>
      <c r="D18">
        <f>D17/30</f>
        <v>25000</v>
      </c>
    </row>
    <row r="19" spans="2:12" x14ac:dyDescent="0.4">
      <c r="G19">
        <v>11.03</v>
      </c>
      <c r="H19">
        <v>8.94</v>
      </c>
    </row>
    <row r="20" spans="2:12" x14ac:dyDescent="0.4">
      <c r="B20" s="5">
        <f>B18*5</f>
        <v>-85.464481984527652</v>
      </c>
      <c r="G20">
        <v>8.94</v>
      </c>
      <c r="H20">
        <v>10.83</v>
      </c>
    </row>
    <row r="21" spans="2:12" x14ac:dyDescent="0.4">
      <c r="G21">
        <v>10.83</v>
      </c>
      <c r="H21">
        <v>11.54</v>
      </c>
      <c r="L21">
        <f>250000/9.97</f>
        <v>25075.225677031092</v>
      </c>
    </row>
    <row r="22" spans="2:12" x14ac:dyDescent="0.4">
      <c r="D22">
        <f>30*9.97/1000 * 10915000 + 56/500 * (20000000 - 11000000)</f>
        <v>4272676.5</v>
      </c>
      <c r="G22">
        <v>8.91</v>
      </c>
      <c r="H22">
        <v>8.91</v>
      </c>
    </row>
    <row r="23" spans="2:12" x14ac:dyDescent="0.4">
      <c r="G23">
        <v>11.54</v>
      </c>
      <c r="H23">
        <v>11.03</v>
      </c>
    </row>
    <row r="24" spans="2:12" x14ac:dyDescent="0.4">
      <c r="G24">
        <f>AVERAGE(G19:G23)</f>
        <v>10.249999999999998</v>
      </c>
      <c r="H24">
        <f>AVERAGE(H19:H23)</f>
        <v>10.25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15EB-08A7-4227-809A-74EEABAD1097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2EC2-F1A0-4483-95EA-28775947BFBE}">
  <dimension ref="B2:I12"/>
  <sheetViews>
    <sheetView workbookViewId="0">
      <selection activeCell="G4" sqref="G4"/>
    </sheetView>
  </sheetViews>
  <sheetFormatPr defaultRowHeight="14.6" x14ac:dyDescent="0.4"/>
  <cols>
    <col min="3" max="3" width="14.07421875" bestFit="1" customWidth="1"/>
  </cols>
  <sheetData>
    <row r="2" spans="2:9" x14ac:dyDescent="0.4">
      <c r="B2" s="14" t="s">
        <v>2</v>
      </c>
      <c r="C2" s="14" t="s">
        <v>13</v>
      </c>
      <c r="D2" s="14" t="s">
        <v>1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</row>
    <row r="3" spans="2:9" x14ac:dyDescent="0.4">
      <c r="B3">
        <v>250000</v>
      </c>
      <c r="C3" s="4">
        <f>(60+20)*0.4*0.6*B3*9.97/1000</f>
        <v>47856</v>
      </c>
      <c r="D3" s="1">
        <f t="shared" ref="D3:D7" si="0">30*9.97/1000 * 0.6*B3 + 50/556 * B3*0.5</f>
        <v>56106.007194244601</v>
      </c>
      <c r="E3">
        <f>B3*0.6*9.97/1000 * 0.4*(194.3*0.45+0.55*60+20)+100*B3*0.6*0.4*9.97/8000</f>
        <v>91485.717000000004</v>
      </c>
      <c r="F3">
        <f>B3*0.6*9.97/1000 * 0.4*(210*0.1+0.9*60+20)+100*B3*0.6*0.4*9.97/8000</f>
        <v>64306.500000000007</v>
      </c>
      <c r="G3">
        <f>20*0.9*B3*0.6*9.97/1000</f>
        <v>26919</v>
      </c>
      <c r="H3" s="4">
        <f>(190+20)*0.4*0.6*B3*9.97/1000</f>
        <v>125622.00000000001</v>
      </c>
      <c r="I3" s="4">
        <f>(210+20)*0.4*0.6*B3*9.97/1000</f>
        <v>137586</v>
      </c>
    </row>
    <row r="4" spans="2:9" x14ac:dyDescent="0.4">
      <c r="B4">
        <v>500000</v>
      </c>
      <c r="C4" s="4">
        <f t="shared" ref="C4:C9" si="1">(60+20)*0.4*0.6*B4*9.97/1000</f>
        <v>95712</v>
      </c>
      <c r="D4" s="1">
        <f t="shared" si="0"/>
        <v>112212.0143884892</v>
      </c>
      <c r="E4">
        <f t="shared" ref="E4:E9" si="2">B4*0.6*9.97/1000 * 0.4*(194.3*0.45+0.55*60+20)+100*B4*0.6*0.4*9.97/8000</f>
        <v>182971.43400000001</v>
      </c>
      <c r="F4">
        <f t="shared" ref="F4:F9" si="3">B4*0.6*9.97/1000 * 0.4*(210*0.1+0.9*60+20)+100*B4*0.6*0.4*9.97/8000</f>
        <v>128613.00000000001</v>
      </c>
      <c r="G4">
        <f t="shared" ref="G4:G9" si="4">20*0.9*B4*0.6*9.97/1000</f>
        <v>53838</v>
      </c>
      <c r="H4" s="4">
        <f>(190+20)*0.4*0.6*B4*9.97/1000</f>
        <v>251244.00000000003</v>
      </c>
      <c r="I4" s="4"/>
    </row>
    <row r="5" spans="2:9" x14ac:dyDescent="0.4">
      <c r="B5" s="1">
        <v>5000000</v>
      </c>
      <c r="C5" s="4">
        <f t="shared" si="1"/>
        <v>957120.00000000012</v>
      </c>
      <c r="D5" s="1">
        <f t="shared" si="0"/>
        <v>1122120.1438848921</v>
      </c>
      <c r="E5">
        <f t="shared" si="2"/>
        <v>1829714.3400000003</v>
      </c>
      <c r="F5">
        <f t="shared" si="3"/>
        <v>1286130.0000000002</v>
      </c>
      <c r="G5">
        <f t="shared" si="4"/>
        <v>538380</v>
      </c>
      <c r="H5" s="4"/>
    </row>
    <row r="6" spans="2:9" x14ac:dyDescent="0.4">
      <c r="B6" s="1">
        <v>10000000</v>
      </c>
      <c r="C6" s="4">
        <f t="shared" si="1"/>
        <v>1914240.0000000002</v>
      </c>
      <c r="D6" s="1">
        <f t="shared" si="0"/>
        <v>2244240.2877697842</v>
      </c>
      <c r="E6">
        <f t="shared" si="2"/>
        <v>3659428.6800000006</v>
      </c>
      <c r="F6">
        <f t="shared" si="3"/>
        <v>2572260.0000000005</v>
      </c>
      <c r="G6">
        <f t="shared" si="4"/>
        <v>1076760</v>
      </c>
      <c r="H6" s="4"/>
    </row>
    <row r="7" spans="2:9" x14ac:dyDescent="0.4">
      <c r="B7" s="1">
        <v>20000000</v>
      </c>
      <c r="C7" s="4">
        <f t="shared" si="1"/>
        <v>3828480.0000000005</v>
      </c>
      <c r="D7" s="1">
        <f t="shared" si="0"/>
        <v>4488480.5755395684</v>
      </c>
      <c r="E7">
        <f t="shared" si="2"/>
        <v>7318857.3600000013</v>
      </c>
      <c r="F7">
        <f t="shared" si="3"/>
        <v>5144520.0000000009</v>
      </c>
      <c r="G7">
        <f t="shared" si="4"/>
        <v>2153520</v>
      </c>
      <c r="H7" s="4"/>
    </row>
    <row r="8" spans="2:9" x14ac:dyDescent="0.4">
      <c r="B8" s="1">
        <v>40000000</v>
      </c>
      <c r="C8" s="4">
        <f t="shared" si="1"/>
        <v>7656960.0000000009</v>
      </c>
      <c r="D8" s="1">
        <f>30*9.97/1000 * 0.6*B8 + 50/556 * B8*0.5</f>
        <v>8976961.1510791369</v>
      </c>
      <c r="E8">
        <f t="shared" si="2"/>
        <v>14637714.720000003</v>
      </c>
      <c r="F8">
        <f t="shared" si="3"/>
        <v>10289040.000000002</v>
      </c>
      <c r="G8">
        <f t="shared" si="4"/>
        <v>4307040</v>
      </c>
      <c r="H8" s="4"/>
    </row>
    <row r="9" spans="2:9" x14ac:dyDescent="0.4">
      <c r="B9" s="1">
        <v>75000000</v>
      </c>
      <c r="C9" s="4">
        <f t="shared" si="1"/>
        <v>14356800</v>
      </c>
      <c r="D9" s="1">
        <f>30*9.97/1000 * 0.6*B9 + 50/556 * B9*0.5</f>
        <v>16831802.15827338</v>
      </c>
      <c r="E9">
        <f t="shared" si="2"/>
        <v>27445715.100000001</v>
      </c>
      <c r="F9">
        <f t="shared" si="3"/>
        <v>19291950</v>
      </c>
      <c r="G9">
        <f t="shared" si="4"/>
        <v>8075700.0000000009</v>
      </c>
      <c r="H9" s="4"/>
    </row>
    <row r="12" spans="2:9" x14ac:dyDescent="0.4">
      <c r="D12">
        <f>20000000*0.7/1000000</f>
        <v>14</v>
      </c>
      <c r="E12">
        <f>D12*30*9.97/1000 + D12 * 50/556</f>
        <v>5.4463928057553961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0CB5-3F08-4511-AF60-2EA48BE69EE9}">
  <dimension ref="A1:AA24"/>
  <sheetViews>
    <sheetView workbookViewId="0">
      <selection activeCell="C8" sqref="C8"/>
    </sheetView>
  </sheetViews>
  <sheetFormatPr defaultRowHeight="14.6" x14ac:dyDescent="0.4"/>
  <cols>
    <col min="2" max="2" width="14.765625" bestFit="1" customWidth="1"/>
    <col min="3" max="3" width="14.07421875" bestFit="1" customWidth="1"/>
    <col min="4" max="4" width="12" bestFit="1" customWidth="1"/>
    <col min="5" max="5" width="14.07421875" bestFit="1" customWidth="1"/>
    <col min="6" max="6" width="11.4609375" bestFit="1" customWidth="1"/>
    <col min="10" max="10" width="14.07421875" bestFit="1" customWidth="1"/>
  </cols>
  <sheetData>
    <row r="1" spans="1:27" x14ac:dyDescent="0.4">
      <c r="B1" t="s">
        <v>2</v>
      </c>
      <c r="E1" t="s">
        <v>9</v>
      </c>
    </row>
    <row r="2" spans="1:27" x14ac:dyDescent="0.4">
      <c r="B2" s="1">
        <v>250000</v>
      </c>
      <c r="D2">
        <f>F20*190*0.9/1000000+20*F20/1000000</f>
        <v>54.860739000000002</v>
      </c>
      <c r="E2" s="2">
        <f>B2*(8000/8760)*0.4*9.97*0.589/1000</f>
        <v>536.28584474885849</v>
      </c>
      <c r="F2" t="s">
        <v>10</v>
      </c>
    </row>
    <row r="3" spans="1:27" x14ac:dyDescent="0.4">
      <c r="B3" t="s">
        <v>0</v>
      </c>
      <c r="J3" s="4"/>
    </row>
    <row r="4" spans="1:27" x14ac:dyDescent="0.4">
      <c r="B4" s="2">
        <f>-B2*150.12*B2^(-0.311)</f>
        <v>-786356.03052061575</v>
      </c>
      <c r="E4" s="8">
        <f>(E2*0.1*210*0.9+E2*0.9*60+20*E2)/1000000</f>
        <v>4.9820954977168964E-2</v>
      </c>
      <c r="F4">
        <v>1.17</v>
      </c>
      <c r="G4">
        <v>6.4874999999999998</v>
      </c>
      <c r="H4">
        <f>(20*E2)/1000000</f>
        <v>1.072571689497717E-2</v>
      </c>
      <c r="I4">
        <f>(E2*0.9*60)/1000000</f>
        <v>2.8959435616438361E-2</v>
      </c>
      <c r="J4" s="12">
        <f>(F22*0.1*210*0.9106)/1000000</f>
        <v>1.1229421765799998E-2</v>
      </c>
      <c r="K4">
        <f>1.174</f>
        <v>1.1739999999999999</v>
      </c>
    </row>
    <row r="5" spans="1:27" x14ac:dyDescent="0.4">
      <c r="D5">
        <f>210*E2+E2*200</f>
        <v>219877.19634703198</v>
      </c>
      <c r="E5" s="13">
        <f>100*(B2*0.589*0.4*9.97)/8000/1000000</f>
        <v>7.3404125000000008E-3</v>
      </c>
      <c r="F5" s="7"/>
    </row>
    <row r="6" spans="1:27" x14ac:dyDescent="0.4">
      <c r="B6" s="2"/>
    </row>
    <row r="8" spans="1:27" x14ac:dyDescent="0.4">
      <c r="B8" t="s">
        <v>3</v>
      </c>
      <c r="C8" s="1">
        <f>210*0.9*$E$2+20*$E$2</f>
        <v>112083.74155251143</v>
      </c>
      <c r="D8" s="1">
        <f t="shared" ref="D8:AA8" si="0">210*0.9*$E$2+20*$E$2</f>
        <v>112083.74155251143</v>
      </c>
      <c r="E8" s="1">
        <f t="shared" si="0"/>
        <v>112083.74155251143</v>
      </c>
      <c r="F8" s="1">
        <f t="shared" si="0"/>
        <v>112083.74155251143</v>
      </c>
      <c r="G8" s="1">
        <f t="shared" si="0"/>
        <v>112083.74155251143</v>
      </c>
      <c r="H8" s="1">
        <f t="shared" si="0"/>
        <v>112083.74155251143</v>
      </c>
      <c r="I8" s="1">
        <f t="shared" si="0"/>
        <v>112083.74155251143</v>
      </c>
      <c r="J8" s="1">
        <f t="shared" si="0"/>
        <v>112083.74155251143</v>
      </c>
      <c r="K8" s="1">
        <f t="shared" si="0"/>
        <v>112083.74155251143</v>
      </c>
      <c r="L8" s="1">
        <f t="shared" si="0"/>
        <v>112083.74155251143</v>
      </c>
      <c r="M8" s="1">
        <f t="shared" si="0"/>
        <v>112083.74155251143</v>
      </c>
      <c r="N8" s="1">
        <f t="shared" si="0"/>
        <v>112083.74155251143</v>
      </c>
      <c r="O8" s="1">
        <f t="shared" si="0"/>
        <v>112083.74155251143</v>
      </c>
      <c r="P8" s="1">
        <f t="shared" si="0"/>
        <v>112083.74155251143</v>
      </c>
      <c r="Q8" s="1">
        <f t="shared" si="0"/>
        <v>112083.74155251143</v>
      </c>
      <c r="R8" s="1">
        <f t="shared" si="0"/>
        <v>112083.74155251143</v>
      </c>
      <c r="S8" s="1">
        <f t="shared" si="0"/>
        <v>112083.74155251143</v>
      </c>
      <c r="T8" s="1">
        <f t="shared" si="0"/>
        <v>112083.74155251143</v>
      </c>
      <c r="U8" s="1">
        <f t="shared" si="0"/>
        <v>112083.74155251143</v>
      </c>
      <c r="V8" s="1">
        <f t="shared" si="0"/>
        <v>112083.74155251143</v>
      </c>
      <c r="W8" s="1">
        <f t="shared" si="0"/>
        <v>112083.74155251143</v>
      </c>
      <c r="X8" s="1">
        <f t="shared" si="0"/>
        <v>112083.74155251143</v>
      </c>
      <c r="Y8" s="1">
        <f t="shared" si="0"/>
        <v>112083.74155251143</v>
      </c>
      <c r="Z8" s="1">
        <f t="shared" si="0"/>
        <v>112083.74155251143</v>
      </c>
      <c r="AA8" s="1">
        <f t="shared" si="0"/>
        <v>112083.74155251143</v>
      </c>
    </row>
    <row r="9" spans="1:27" x14ac:dyDescent="0.4">
      <c r="B9" t="s">
        <v>4</v>
      </c>
      <c r="C9" s="4">
        <f>-2.1209*$B$2^(0.8359)</f>
        <v>-68969.685457241896</v>
      </c>
      <c r="D9" s="4">
        <f t="shared" ref="D9:AA9" si="1">-2.1209*$B$2^(0.8359)</f>
        <v>-68969.685457241896</v>
      </c>
      <c r="E9" s="4">
        <f t="shared" si="1"/>
        <v>-68969.685457241896</v>
      </c>
      <c r="F9" s="4">
        <f t="shared" si="1"/>
        <v>-68969.685457241896</v>
      </c>
      <c r="G9" s="4">
        <f t="shared" si="1"/>
        <v>-68969.685457241896</v>
      </c>
      <c r="H9" s="4">
        <f t="shared" si="1"/>
        <v>-68969.685457241896</v>
      </c>
      <c r="I9" s="4">
        <f t="shared" si="1"/>
        <v>-68969.685457241896</v>
      </c>
      <c r="J9" s="4">
        <f t="shared" si="1"/>
        <v>-68969.685457241896</v>
      </c>
      <c r="K9" s="4">
        <f t="shared" si="1"/>
        <v>-68969.685457241896</v>
      </c>
      <c r="L9" s="4">
        <f t="shared" si="1"/>
        <v>-68969.685457241896</v>
      </c>
      <c r="M9" s="4">
        <f t="shared" si="1"/>
        <v>-68969.685457241896</v>
      </c>
      <c r="N9" s="4">
        <f t="shared" si="1"/>
        <v>-68969.685457241896</v>
      </c>
      <c r="O9" s="4">
        <f t="shared" si="1"/>
        <v>-68969.685457241896</v>
      </c>
      <c r="P9" s="4">
        <f t="shared" si="1"/>
        <v>-68969.685457241896</v>
      </c>
      <c r="Q9" s="4">
        <f t="shared" si="1"/>
        <v>-68969.685457241896</v>
      </c>
      <c r="R9" s="4">
        <f t="shared" si="1"/>
        <v>-68969.685457241896</v>
      </c>
      <c r="S9" s="4">
        <f t="shared" si="1"/>
        <v>-68969.685457241896</v>
      </c>
      <c r="T9" s="4">
        <f t="shared" si="1"/>
        <v>-68969.685457241896</v>
      </c>
      <c r="U9" s="4">
        <f t="shared" si="1"/>
        <v>-68969.685457241896</v>
      </c>
      <c r="V9" s="4">
        <f t="shared" si="1"/>
        <v>-68969.685457241896</v>
      </c>
      <c r="W9" s="4">
        <f t="shared" si="1"/>
        <v>-68969.685457241896</v>
      </c>
      <c r="X9" s="4">
        <f t="shared" si="1"/>
        <v>-68969.685457241896</v>
      </c>
      <c r="Y9" s="4">
        <f t="shared" si="1"/>
        <v>-68969.685457241896</v>
      </c>
      <c r="Z9" s="4">
        <f t="shared" si="1"/>
        <v>-68969.685457241896</v>
      </c>
      <c r="AA9" s="4">
        <f t="shared" si="1"/>
        <v>-68969.685457241896</v>
      </c>
    </row>
    <row r="10" spans="1:27" x14ac:dyDescent="0.4">
      <c r="B10" t="s">
        <v>5</v>
      </c>
      <c r="C10" s="1">
        <v>-10000</v>
      </c>
      <c r="D10" s="1">
        <v>-10000</v>
      </c>
      <c r="E10" s="1">
        <v>-10000</v>
      </c>
      <c r="F10" s="1">
        <v>-10000</v>
      </c>
      <c r="G10" s="1">
        <v>-10000</v>
      </c>
      <c r="H10" s="1">
        <v>-10000</v>
      </c>
      <c r="I10" s="1">
        <v>-10000</v>
      </c>
      <c r="J10" s="1">
        <v>-10000</v>
      </c>
      <c r="K10" s="1">
        <v>-10000</v>
      </c>
      <c r="L10" s="1">
        <v>-10000</v>
      </c>
      <c r="M10" s="1">
        <v>-10000</v>
      </c>
      <c r="N10" s="1">
        <v>-10000</v>
      </c>
      <c r="O10" s="1">
        <v>-10000</v>
      </c>
      <c r="P10" s="1">
        <v>-10000</v>
      </c>
      <c r="Q10" s="1">
        <v>-10000</v>
      </c>
      <c r="R10" s="1">
        <v>-10000</v>
      </c>
      <c r="S10" s="1">
        <v>-10000</v>
      </c>
      <c r="T10" s="1">
        <v>-10000</v>
      </c>
      <c r="U10" s="1">
        <v>-10000</v>
      </c>
      <c r="V10" s="1">
        <v>-10000</v>
      </c>
      <c r="W10" s="1">
        <v>-10000</v>
      </c>
      <c r="X10" s="1">
        <v>-10000</v>
      </c>
      <c r="Y10" s="1">
        <v>-10000</v>
      </c>
      <c r="Z10" s="1">
        <v>-10000</v>
      </c>
      <c r="AA10" s="1">
        <v>-10000</v>
      </c>
    </row>
    <row r="11" spans="1:27" x14ac:dyDescent="0.4">
      <c r="B11" t="s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3" spans="1:27" x14ac:dyDescent="0.4">
      <c r="A13" t="s">
        <v>7</v>
      </c>
    </row>
    <row r="14" spans="1:27" x14ac:dyDescent="0.4">
      <c r="A14" s="6">
        <f>IRR(B14:AA14)</f>
        <v>3.9954518204667888E-3</v>
      </c>
      <c r="B14" s="3">
        <f>B6+B4</f>
        <v>-786356.03052061575</v>
      </c>
      <c r="C14">
        <f>SUM(C8:C13)</f>
        <v>33114.056095269538</v>
      </c>
      <c r="D14">
        <f t="shared" ref="D14:AA14" si="2">SUM(D8:D13)</f>
        <v>33114.056095269538</v>
      </c>
      <c r="E14">
        <f t="shared" si="2"/>
        <v>33114.056095269538</v>
      </c>
      <c r="F14">
        <f t="shared" si="2"/>
        <v>33114.056095269538</v>
      </c>
      <c r="G14">
        <f t="shared" si="2"/>
        <v>33114.056095269538</v>
      </c>
      <c r="H14">
        <f t="shared" si="2"/>
        <v>33114.056095269538</v>
      </c>
      <c r="I14">
        <f t="shared" si="2"/>
        <v>33114.056095269538</v>
      </c>
      <c r="J14">
        <f t="shared" si="2"/>
        <v>33114.056095269538</v>
      </c>
      <c r="K14">
        <f t="shared" si="2"/>
        <v>33114.056095269538</v>
      </c>
      <c r="L14">
        <f t="shared" si="2"/>
        <v>33114.056095269538</v>
      </c>
      <c r="M14">
        <f t="shared" si="2"/>
        <v>33114.056095269538</v>
      </c>
      <c r="N14">
        <f t="shared" si="2"/>
        <v>33114.056095269538</v>
      </c>
      <c r="O14">
        <f t="shared" si="2"/>
        <v>33114.056095269538</v>
      </c>
      <c r="P14">
        <f t="shared" si="2"/>
        <v>33114.056095269538</v>
      </c>
      <c r="Q14">
        <f t="shared" si="2"/>
        <v>33114.056095269538</v>
      </c>
      <c r="R14">
        <f t="shared" si="2"/>
        <v>33114.056095269538</v>
      </c>
      <c r="S14">
        <f t="shared" si="2"/>
        <v>33114.056095269538</v>
      </c>
      <c r="T14">
        <f t="shared" si="2"/>
        <v>33114.056095269538</v>
      </c>
      <c r="U14">
        <f t="shared" si="2"/>
        <v>33114.056095269538</v>
      </c>
      <c r="V14">
        <f t="shared" si="2"/>
        <v>33114.056095269538</v>
      </c>
      <c r="W14">
        <f t="shared" si="2"/>
        <v>33114.056095269538</v>
      </c>
      <c r="X14">
        <f t="shared" si="2"/>
        <v>33114.056095269538</v>
      </c>
      <c r="Y14">
        <f t="shared" si="2"/>
        <v>33114.056095269538</v>
      </c>
      <c r="Z14">
        <f t="shared" si="2"/>
        <v>33114.056095269538</v>
      </c>
      <c r="AA14">
        <f t="shared" si="2"/>
        <v>33114.056095269538</v>
      </c>
    </row>
    <row r="16" spans="1:27" x14ac:dyDescent="0.4">
      <c r="B16" s="5">
        <f>NPV(0.042,C14:AA14)+B14</f>
        <v>-279809.92231385992</v>
      </c>
    </row>
    <row r="17" spans="2:15" x14ac:dyDescent="0.4">
      <c r="D17">
        <f>75000000/100</f>
        <v>750000</v>
      </c>
      <c r="G17">
        <f>0.1556+0.214395</f>
        <v>0.36999499999999996</v>
      </c>
      <c r="K17">
        <v>0.74642283024207101</v>
      </c>
    </row>
    <row r="18" spans="2:15" x14ac:dyDescent="0.4">
      <c r="B18" s="5">
        <f>B16/1000000</f>
        <v>-0.27980992231385993</v>
      </c>
      <c r="D18">
        <f>D17/30</f>
        <v>25000</v>
      </c>
      <c r="K18">
        <f>K17*287000</f>
        <v>214223.35227947438</v>
      </c>
      <c r="N18" s="2">
        <f>B2*(8000/8760)*0.4*9.97*0.589/1000</f>
        <v>536.28584474885849</v>
      </c>
      <c r="O18" t="s">
        <v>10</v>
      </c>
    </row>
    <row r="19" spans="2:15" x14ac:dyDescent="0.4">
      <c r="F19" t="s">
        <v>11</v>
      </c>
      <c r="H19">
        <v>4.22</v>
      </c>
      <c r="N19">
        <f>N18*2</f>
        <v>1072.571689497717</v>
      </c>
      <c r="O19" t="s">
        <v>10</v>
      </c>
    </row>
    <row r="20" spans="2:15" x14ac:dyDescent="0.4">
      <c r="B20" s="10">
        <f>B18*5</f>
        <v>-1.3990496115692996</v>
      </c>
      <c r="F20">
        <f>287229</f>
        <v>287229</v>
      </c>
      <c r="H20">
        <v>8.15</v>
      </c>
    </row>
    <row r="21" spans="2:15" x14ac:dyDescent="0.4">
      <c r="B21" s="2">
        <v>177.52557523289957</v>
      </c>
      <c r="H21">
        <v>8.91</v>
      </c>
      <c r="N21">
        <f>190*0.91*N18+20*N18</f>
        <v>103449.53945205481</v>
      </c>
    </row>
    <row r="22" spans="2:15" x14ac:dyDescent="0.4">
      <c r="E22" s="9">
        <f>E5</f>
        <v>7.3404125000000008E-3</v>
      </c>
      <c r="F22" s="1">
        <f>B2*0.4*0.589*9.97/1000</f>
        <v>587.23299999999995</v>
      </c>
      <c r="H22">
        <v>8.06</v>
      </c>
      <c r="K22">
        <f>0.713*265000</f>
        <v>188945</v>
      </c>
      <c r="N22">
        <f>190*0.91*N19+20*N19</f>
        <v>206899.07890410963</v>
      </c>
    </row>
    <row r="23" spans="2:15" x14ac:dyDescent="0.4">
      <c r="E23">
        <f>F23/1000000</f>
        <v>0.124014213872</v>
      </c>
      <c r="F23">
        <f>F22*210*0.9104+F22*20</f>
        <v>124014.21387199999</v>
      </c>
      <c r="H23">
        <v>4.13</v>
      </c>
    </row>
    <row r="24" spans="2:15" x14ac:dyDescent="0.4">
      <c r="E24">
        <f>E22*10+E23</f>
        <v>0.197418338872</v>
      </c>
      <c r="H24">
        <f>AVERAGE(H19:H23)</f>
        <v>6.6940000000000008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DD19-2AED-43A9-945E-37859E7C536F}">
  <dimension ref="A1:AA24"/>
  <sheetViews>
    <sheetView workbookViewId="0">
      <selection activeCell="C8" sqref="C8"/>
    </sheetView>
  </sheetViews>
  <sheetFormatPr defaultRowHeight="14.6" x14ac:dyDescent="0.4"/>
  <cols>
    <col min="2" max="2" width="14.765625" bestFit="1" customWidth="1"/>
    <col min="3" max="3" width="14.07421875" bestFit="1" customWidth="1"/>
    <col min="4" max="4" width="12" bestFit="1" customWidth="1"/>
    <col min="5" max="5" width="14.07421875" bestFit="1" customWidth="1"/>
    <col min="6" max="6" width="11.4609375" bestFit="1" customWidth="1"/>
    <col min="10" max="10" width="14.07421875" bestFit="1" customWidth="1"/>
  </cols>
  <sheetData>
    <row r="1" spans="1:27" x14ac:dyDescent="0.4">
      <c r="B1" t="s">
        <v>2</v>
      </c>
      <c r="E1" t="s">
        <v>9</v>
      </c>
    </row>
    <row r="2" spans="1:27" x14ac:dyDescent="0.4">
      <c r="B2" s="1">
        <v>40000000</v>
      </c>
      <c r="E2" s="2">
        <f>B2*(8000/8760)*0.4*9.97*0.589/1000</f>
        <v>85805.73515981737</v>
      </c>
      <c r="F2" t="s">
        <v>10</v>
      </c>
    </row>
    <row r="3" spans="1:27" x14ac:dyDescent="0.4">
      <c r="B3" t="s">
        <v>0</v>
      </c>
      <c r="J3" s="4"/>
    </row>
    <row r="4" spans="1:27" x14ac:dyDescent="0.4">
      <c r="B4" s="2">
        <f>-B2*150.12*B2^(-0.311)</f>
        <v>-25957202.773503952</v>
      </c>
      <c r="E4" s="8">
        <f>(E2*0.1*210*0.9+E2*0.9*60+20*E2)/1000000</f>
        <v>7.9713527963470332</v>
      </c>
      <c r="F4">
        <v>1.17</v>
      </c>
      <c r="G4">
        <v>6.4874999999999998</v>
      </c>
      <c r="H4">
        <f>(20*E2)/1000000</f>
        <v>1.7161147031963475</v>
      </c>
      <c r="I4">
        <f>(E2*0.9*60)/1000000</f>
        <v>4.633509698630137</v>
      </c>
      <c r="J4" s="12">
        <f>(F22*0.1*210*0.9106)/1000000</f>
        <v>1.7967074825280001</v>
      </c>
      <c r="K4">
        <f>1.174</f>
        <v>1.1739999999999999</v>
      </c>
    </row>
    <row r="5" spans="1:27" x14ac:dyDescent="0.4">
      <c r="E5" s="13">
        <f>100*(B2*0.589*0.4*9.97)/8000/1000000</f>
        <v>1.174466</v>
      </c>
      <c r="F5" s="7"/>
    </row>
    <row r="6" spans="1:27" x14ac:dyDescent="0.4">
      <c r="B6" s="2"/>
    </row>
    <row r="8" spans="1:27" x14ac:dyDescent="0.4">
      <c r="B8" t="s">
        <v>3</v>
      </c>
      <c r="C8" s="1">
        <f>100*$E$2+20*$E$2</f>
        <v>10296688.219178084</v>
      </c>
      <c r="D8" s="1">
        <f t="shared" ref="D8:AA8" si="0">100*$E$2+20*$E$2</f>
        <v>10296688.219178084</v>
      </c>
      <c r="E8" s="1">
        <f t="shared" si="0"/>
        <v>10296688.219178084</v>
      </c>
      <c r="F8" s="1">
        <f t="shared" si="0"/>
        <v>10296688.219178084</v>
      </c>
      <c r="G8" s="1">
        <f t="shared" si="0"/>
        <v>10296688.219178084</v>
      </c>
      <c r="H8" s="1">
        <f t="shared" si="0"/>
        <v>10296688.219178084</v>
      </c>
      <c r="I8" s="1">
        <f t="shared" si="0"/>
        <v>10296688.219178084</v>
      </c>
      <c r="J8" s="1">
        <f t="shared" si="0"/>
        <v>10296688.219178084</v>
      </c>
      <c r="K8" s="1">
        <f t="shared" si="0"/>
        <v>10296688.219178084</v>
      </c>
      <c r="L8" s="1">
        <f t="shared" si="0"/>
        <v>10296688.219178084</v>
      </c>
      <c r="M8" s="1">
        <f t="shared" si="0"/>
        <v>10296688.219178084</v>
      </c>
      <c r="N8" s="1">
        <f t="shared" si="0"/>
        <v>10296688.219178084</v>
      </c>
      <c r="O8" s="1">
        <f t="shared" si="0"/>
        <v>10296688.219178084</v>
      </c>
      <c r="P8" s="1">
        <f t="shared" si="0"/>
        <v>10296688.219178084</v>
      </c>
      <c r="Q8" s="1">
        <f t="shared" si="0"/>
        <v>10296688.219178084</v>
      </c>
      <c r="R8" s="1">
        <f t="shared" si="0"/>
        <v>10296688.219178084</v>
      </c>
      <c r="S8" s="1">
        <f t="shared" si="0"/>
        <v>10296688.219178084</v>
      </c>
      <c r="T8" s="1">
        <f t="shared" si="0"/>
        <v>10296688.219178084</v>
      </c>
      <c r="U8" s="1">
        <f t="shared" si="0"/>
        <v>10296688.219178084</v>
      </c>
      <c r="V8" s="1">
        <f t="shared" si="0"/>
        <v>10296688.219178084</v>
      </c>
      <c r="W8" s="1">
        <f t="shared" si="0"/>
        <v>10296688.219178084</v>
      </c>
      <c r="X8" s="1">
        <f t="shared" si="0"/>
        <v>10296688.219178084</v>
      </c>
      <c r="Y8" s="1">
        <f t="shared" si="0"/>
        <v>10296688.219178084</v>
      </c>
      <c r="Z8" s="1">
        <f t="shared" si="0"/>
        <v>10296688.219178084</v>
      </c>
      <c r="AA8" s="1">
        <f t="shared" si="0"/>
        <v>10296688.219178084</v>
      </c>
    </row>
    <row r="9" spans="1:27" x14ac:dyDescent="0.4">
      <c r="B9" t="s">
        <v>4</v>
      </c>
      <c r="C9" s="4">
        <f>-2.1209*$B$2^(0.8359)</f>
        <v>-4798241.9002115969</v>
      </c>
      <c r="D9" s="4">
        <f t="shared" ref="D9:AA9" si="1">-2.1209*$B$2^(0.8359)</f>
        <v>-4798241.9002115969</v>
      </c>
      <c r="E9" s="4">
        <f t="shared" si="1"/>
        <v>-4798241.9002115969</v>
      </c>
      <c r="F9" s="4">
        <f t="shared" si="1"/>
        <v>-4798241.9002115969</v>
      </c>
      <c r="G9" s="4">
        <f t="shared" si="1"/>
        <v>-4798241.9002115969</v>
      </c>
      <c r="H9" s="4">
        <f t="shared" si="1"/>
        <v>-4798241.9002115969</v>
      </c>
      <c r="I9" s="4">
        <f t="shared" si="1"/>
        <v>-4798241.9002115969</v>
      </c>
      <c r="J9" s="4">
        <f t="shared" si="1"/>
        <v>-4798241.9002115969</v>
      </c>
      <c r="K9" s="4">
        <f t="shared" si="1"/>
        <v>-4798241.9002115969</v>
      </c>
      <c r="L9" s="4">
        <f t="shared" si="1"/>
        <v>-4798241.9002115969</v>
      </c>
      <c r="M9" s="4">
        <f t="shared" si="1"/>
        <v>-4798241.9002115969</v>
      </c>
      <c r="N9" s="4">
        <f t="shared" si="1"/>
        <v>-4798241.9002115969</v>
      </c>
      <c r="O9" s="4">
        <f t="shared" si="1"/>
        <v>-4798241.9002115969</v>
      </c>
      <c r="P9" s="4">
        <f t="shared" si="1"/>
        <v>-4798241.9002115969</v>
      </c>
      <c r="Q9" s="4">
        <f t="shared" si="1"/>
        <v>-4798241.9002115969</v>
      </c>
      <c r="R9" s="4">
        <f t="shared" si="1"/>
        <v>-4798241.9002115969</v>
      </c>
      <c r="S9" s="4">
        <f t="shared" si="1"/>
        <v>-4798241.9002115969</v>
      </c>
      <c r="T9" s="4">
        <f t="shared" si="1"/>
        <v>-4798241.9002115969</v>
      </c>
      <c r="U9" s="4">
        <f t="shared" si="1"/>
        <v>-4798241.9002115969</v>
      </c>
      <c r="V9" s="4">
        <f t="shared" si="1"/>
        <v>-4798241.9002115969</v>
      </c>
      <c r="W9" s="4">
        <f t="shared" si="1"/>
        <v>-4798241.9002115969</v>
      </c>
      <c r="X9" s="4">
        <f t="shared" si="1"/>
        <v>-4798241.9002115969</v>
      </c>
      <c r="Y9" s="4">
        <f t="shared" si="1"/>
        <v>-4798241.9002115969</v>
      </c>
      <c r="Z9" s="4">
        <f t="shared" si="1"/>
        <v>-4798241.9002115969</v>
      </c>
      <c r="AA9" s="4">
        <f t="shared" si="1"/>
        <v>-4798241.9002115969</v>
      </c>
    </row>
    <row r="10" spans="1:27" x14ac:dyDescent="0.4">
      <c r="B10" t="s">
        <v>5</v>
      </c>
      <c r="C10" s="1">
        <v>-4130000</v>
      </c>
      <c r="D10" s="1">
        <v>-4130000</v>
      </c>
      <c r="E10" s="1">
        <v>-4130000</v>
      </c>
      <c r="F10" s="1">
        <v>-4130000</v>
      </c>
      <c r="G10" s="1">
        <v>-4130000</v>
      </c>
      <c r="H10" s="1">
        <v>-4130000</v>
      </c>
      <c r="I10" s="1">
        <v>-4130000</v>
      </c>
      <c r="J10" s="1">
        <v>-4130000</v>
      </c>
      <c r="K10" s="1">
        <v>-4130000</v>
      </c>
      <c r="L10" s="1">
        <v>-4130000</v>
      </c>
      <c r="M10" s="1">
        <v>-4130000</v>
      </c>
      <c r="N10" s="1">
        <v>-4130000</v>
      </c>
      <c r="O10" s="1">
        <v>-4130000</v>
      </c>
      <c r="P10" s="1">
        <v>-4130000</v>
      </c>
      <c r="Q10" s="1">
        <v>-4130000</v>
      </c>
      <c r="R10" s="1">
        <v>-4130000</v>
      </c>
      <c r="S10" s="1">
        <v>-4130000</v>
      </c>
      <c r="T10" s="1">
        <v>-4130000</v>
      </c>
      <c r="U10" s="1">
        <v>-4130000</v>
      </c>
      <c r="V10" s="1">
        <v>-4130000</v>
      </c>
      <c r="W10" s="1">
        <v>-4130000</v>
      </c>
      <c r="X10" s="1">
        <v>-4130000</v>
      </c>
      <c r="Y10" s="1">
        <v>-4130000</v>
      </c>
      <c r="Z10" s="1">
        <v>-4130000</v>
      </c>
      <c r="AA10" s="1">
        <v>-4130000</v>
      </c>
    </row>
    <row r="11" spans="1:27" x14ac:dyDescent="0.4">
      <c r="B11" t="s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3" spans="1:27" x14ac:dyDescent="0.4">
      <c r="A13" t="s">
        <v>7</v>
      </c>
    </row>
    <row r="14" spans="1:27" x14ac:dyDescent="0.4">
      <c r="A14" s="6">
        <f>IRR(B14:AA14)</f>
        <v>2.2472736444702157E-2</v>
      </c>
      <c r="B14" s="3">
        <f>B6+B4</f>
        <v>-25957202.773503952</v>
      </c>
      <c r="C14">
        <f>SUM(C8:C13)</f>
        <v>1368446.3189664874</v>
      </c>
      <c r="D14">
        <f t="shared" ref="D14:AA14" si="2">SUM(D8:D13)</f>
        <v>1368446.3189664874</v>
      </c>
      <c r="E14">
        <f t="shared" si="2"/>
        <v>1368446.3189664874</v>
      </c>
      <c r="F14">
        <f t="shared" si="2"/>
        <v>1368446.3189664874</v>
      </c>
      <c r="G14">
        <f t="shared" si="2"/>
        <v>1368446.3189664874</v>
      </c>
      <c r="H14">
        <f t="shared" si="2"/>
        <v>1368446.3189664874</v>
      </c>
      <c r="I14">
        <f t="shared" si="2"/>
        <v>1368446.3189664874</v>
      </c>
      <c r="J14">
        <f t="shared" si="2"/>
        <v>1368446.3189664874</v>
      </c>
      <c r="K14">
        <f t="shared" si="2"/>
        <v>1368446.3189664874</v>
      </c>
      <c r="L14">
        <f t="shared" si="2"/>
        <v>1368446.3189664874</v>
      </c>
      <c r="M14">
        <f t="shared" si="2"/>
        <v>1368446.3189664874</v>
      </c>
      <c r="N14">
        <f t="shared" si="2"/>
        <v>1368446.3189664874</v>
      </c>
      <c r="O14">
        <f t="shared" si="2"/>
        <v>1368446.3189664874</v>
      </c>
      <c r="P14">
        <f t="shared" si="2"/>
        <v>1368446.3189664874</v>
      </c>
      <c r="Q14">
        <f t="shared" si="2"/>
        <v>1368446.3189664874</v>
      </c>
      <c r="R14">
        <f t="shared" si="2"/>
        <v>1368446.3189664874</v>
      </c>
      <c r="S14">
        <f t="shared" si="2"/>
        <v>1368446.3189664874</v>
      </c>
      <c r="T14">
        <f t="shared" si="2"/>
        <v>1368446.3189664874</v>
      </c>
      <c r="U14">
        <f t="shared" si="2"/>
        <v>1368446.3189664874</v>
      </c>
      <c r="V14">
        <f t="shared" si="2"/>
        <v>1368446.3189664874</v>
      </c>
      <c r="W14">
        <f t="shared" si="2"/>
        <v>1368446.3189664874</v>
      </c>
      <c r="X14">
        <f t="shared" si="2"/>
        <v>1368446.3189664874</v>
      </c>
      <c r="Y14">
        <f t="shared" si="2"/>
        <v>1368446.3189664874</v>
      </c>
      <c r="Z14">
        <f t="shared" si="2"/>
        <v>1368446.3189664874</v>
      </c>
      <c r="AA14">
        <f t="shared" si="2"/>
        <v>1368446.3189664874</v>
      </c>
    </row>
    <row r="16" spans="1:27" x14ac:dyDescent="0.4">
      <c r="B16" s="5">
        <f>NPV(0.042,C14:AA14)+B14</f>
        <v>-5024063.2279271521</v>
      </c>
    </row>
    <row r="17" spans="2:15" x14ac:dyDescent="0.4">
      <c r="D17">
        <f>75000000/100</f>
        <v>750000</v>
      </c>
      <c r="G17">
        <f>0.1556+0.214395</f>
        <v>0.36999499999999996</v>
      </c>
      <c r="K17">
        <v>0.74642283024207101</v>
      </c>
    </row>
    <row r="18" spans="2:15" x14ac:dyDescent="0.4">
      <c r="B18" s="5">
        <f>B16/1000000</f>
        <v>-5.0240632279271518</v>
      </c>
      <c r="D18">
        <f>D17/30</f>
        <v>25000</v>
      </c>
      <c r="J18">
        <f>45000/365</f>
        <v>123.28767123287672</v>
      </c>
      <c r="K18">
        <f>K17*287000</f>
        <v>214223.35227947438</v>
      </c>
      <c r="N18" s="2">
        <f>B2/2*(8000/8760)*0.4*9.97*0.589/1000</f>
        <v>42902.867579908685</v>
      </c>
      <c r="O18" t="s">
        <v>10</v>
      </c>
    </row>
    <row r="19" spans="2:15" x14ac:dyDescent="0.4">
      <c r="F19" t="s">
        <v>11</v>
      </c>
      <c r="H19">
        <v>4.22</v>
      </c>
      <c r="N19">
        <f>N18*2</f>
        <v>85805.73515981737</v>
      </c>
      <c r="O19" t="s">
        <v>10</v>
      </c>
    </row>
    <row r="20" spans="2:15" x14ac:dyDescent="0.4">
      <c r="B20" s="10">
        <f>B18*5</f>
        <v>-25.120316139635758</v>
      </c>
      <c r="F20">
        <f>287229</f>
        <v>287229</v>
      </c>
      <c r="H20">
        <v>8.15</v>
      </c>
    </row>
    <row r="21" spans="2:15" x14ac:dyDescent="0.4">
      <c r="B21" s="2">
        <v>177.52557523289957</v>
      </c>
      <c r="H21">
        <v>8.91</v>
      </c>
      <c r="N21">
        <f>190*0.91*N18+20*N18</f>
        <v>8275963.1561643854</v>
      </c>
    </row>
    <row r="22" spans="2:15" x14ac:dyDescent="0.4">
      <c r="E22" s="9">
        <f>E5</f>
        <v>1.174466</v>
      </c>
      <c r="F22" s="1">
        <f>B2*0.4*0.589*9.97/1000</f>
        <v>93957.28</v>
      </c>
      <c r="H22">
        <v>8.06</v>
      </c>
      <c r="K22">
        <f>0.713*265000</f>
        <v>188945</v>
      </c>
      <c r="N22">
        <f>190*0.91*N19+20*N19</f>
        <v>16551926.312328771</v>
      </c>
    </row>
    <row r="23" spans="2:15" x14ac:dyDescent="0.4">
      <c r="E23">
        <f>F23/1000000</f>
        <v>19.842274219520004</v>
      </c>
      <c r="F23">
        <f>F22*210*0.9104+F22*20</f>
        <v>19842274.219520003</v>
      </c>
      <c r="H23">
        <v>4.13</v>
      </c>
    </row>
    <row r="24" spans="2:15" x14ac:dyDescent="0.4">
      <c r="E24">
        <f>E22*10+E23</f>
        <v>31.586934219520003</v>
      </c>
      <c r="H24">
        <f>AVERAGE(H19:H23)</f>
        <v>6.6940000000000008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3BF9-9BAE-47AE-9C75-BA1799236717}">
  <dimension ref="A1:AA24"/>
  <sheetViews>
    <sheetView workbookViewId="0">
      <selection activeCell="C8" sqref="C8"/>
    </sheetView>
  </sheetViews>
  <sheetFormatPr defaultRowHeight="14.6" x14ac:dyDescent="0.4"/>
  <cols>
    <col min="2" max="2" width="14.765625" bestFit="1" customWidth="1"/>
    <col min="3" max="3" width="14.07421875" bestFit="1" customWidth="1"/>
    <col min="4" max="4" width="12" bestFit="1" customWidth="1"/>
    <col min="5" max="5" width="14.07421875" bestFit="1" customWidth="1"/>
    <col min="6" max="6" width="11.4609375" bestFit="1" customWidth="1"/>
    <col min="10" max="10" width="14.07421875" bestFit="1" customWidth="1"/>
  </cols>
  <sheetData>
    <row r="1" spans="1:27" x14ac:dyDescent="0.4">
      <c r="B1" t="s">
        <v>2</v>
      </c>
      <c r="C1" t="s">
        <v>12</v>
      </c>
      <c r="E1" t="s">
        <v>9</v>
      </c>
    </row>
    <row r="2" spans="1:27" x14ac:dyDescent="0.4">
      <c r="B2" s="1">
        <v>10000000</v>
      </c>
      <c r="C2" s="2">
        <f>B2*0.589*0.4*9.97/(8000*1000)</f>
        <v>2.9361649999999999</v>
      </c>
      <c r="E2" s="2">
        <f>6500000*(8000/8760)*0.9*9.97*0.589/1000</f>
        <v>31372.72191780822</v>
      </c>
      <c r="F2" t="s">
        <v>10</v>
      </c>
    </row>
    <row r="3" spans="1:27" x14ac:dyDescent="0.4">
      <c r="B3" t="s">
        <v>0</v>
      </c>
      <c r="J3" s="4"/>
    </row>
    <row r="4" spans="1:27" x14ac:dyDescent="0.4">
      <c r="B4" s="4">
        <f>-110000*C2</f>
        <v>-322978.14999999997</v>
      </c>
      <c r="E4" s="8">
        <f>(E2*0.1*210*0.9+E2*0.9*60+20*E2)/1000000</f>
        <v>2.914525866164384</v>
      </c>
      <c r="F4">
        <v>1.17</v>
      </c>
      <c r="G4">
        <v>6.4874999999999998</v>
      </c>
      <c r="H4">
        <f>(20*E2)/1000000</f>
        <v>0.62745443835616432</v>
      </c>
      <c r="I4">
        <f>(E2*0.9*60)/1000000</f>
        <v>1.6941269835616439</v>
      </c>
      <c r="J4" s="12">
        <f>(F22*0.1*210*0.9106)/1000000</f>
        <v>0.44917687063200001</v>
      </c>
      <c r="K4">
        <f>1.174</f>
        <v>1.1739999999999999</v>
      </c>
    </row>
    <row r="5" spans="1:27" x14ac:dyDescent="0.4">
      <c r="C5" s="11">
        <f>C9/1000000</f>
        <v>-1.5686360958904109E-2</v>
      </c>
      <c r="E5" s="13">
        <f>100*(B2*0.589*0.4*9.97)/8000/1000000</f>
        <v>0.2936165</v>
      </c>
      <c r="F5" s="7"/>
    </row>
    <row r="6" spans="1:27" x14ac:dyDescent="0.4">
      <c r="B6" s="2"/>
      <c r="C6">
        <f>-3000*C2/1000000</f>
        <v>-8.8084949999999995E-3</v>
      </c>
    </row>
    <row r="8" spans="1:27" x14ac:dyDescent="0.4">
      <c r="B8" t="s">
        <v>3</v>
      </c>
      <c r="C8" s="1">
        <f>$E$2*200</f>
        <v>6274544.3835616438</v>
      </c>
      <c r="D8" s="1">
        <f t="shared" ref="D8:AA8" si="0">$E$2*20</f>
        <v>627454.43835616438</v>
      </c>
      <c r="E8" s="1">
        <f t="shared" si="0"/>
        <v>627454.43835616438</v>
      </c>
      <c r="F8" s="1">
        <f t="shared" si="0"/>
        <v>627454.43835616438</v>
      </c>
      <c r="G8" s="1">
        <f t="shared" si="0"/>
        <v>627454.43835616438</v>
      </c>
      <c r="H8" s="1">
        <f t="shared" si="0"/>
        <v>627454.43835616438</v>
      </c>
      <c r="I8" s="1">
        <f t="shared" si="0"/>
        <v>627454.43835616438</v>
      </c>
      <c r="J8" s="1">
        <f t="shared" si="0"/>
        <v>627454.43835616438</v>
      </c>
      <c r="K8" s="1">
        <f t="shared" si="0"/>
        <v>627454.43835616438</v>
      </c>
      <c r="L8" s="1">
        <f t="shared" si="0"/>
        <v>627454.43835616438</v>
      </c>
      <c r="M8" s="1">
        <f t="shared" si="0"/>
        <v>627454.43835616438</v>
      </c>
      <c r="N8" s="1">
        <f t="shared" si="0"/>
        <v>627454.43835616438</v>
      </c>
      <c r="O8" s="1">
        <f t="shared" si="0"/>
        <v>627454.43835616438</v>
      </c>
      <c r="P8" s="1">
        <f t="shared" si="0"/>
        <v>627454.43835616438</v>
      </c>
      <c r="Q8" s="1">
        <f t="shared" si="0"/>
        <v>627454.43835616438</v>
      </c>
      <c r="R8" s="1">
        <f t="shared" si="0"/>
        <v>627454.43835616438</v>
      </c>
      <c r="S8" s="1">
        <f t="shared" si="0"/>
        <v>627454.43835616438</v>
      </c>
      <c r="T8" s="1">
        <f t="shared" si="0"/>
        <v>627454.43835616438</v>
      </c>
      <c r="U8" s="1">
        <f t="shared" si="0"/>
        <v>627454.43835616438</v>
      </c>
      <c r="V8" s="1">
        <f t="shared" si="0"/>
        <v>627454.43835616438</v>
      </c>
      <c r="W8" s="1">
        <f t="shared" si="0"/>
        <v>627454.43835616438</v>
      </c>
      <c r="X8" s="1">
        <f t="shared" si="0"/>
        <v>627454.43835616438</v>
      </c>
      <c r="Y8" s="1">
        <f t="shared" si="0"/>
        <v>627454.43835616438</v>
      </c>
      <c r="Z8" s="1">
        <f t="shared" si="0"/>
        <v>627454.43835616438</v>
      </c>
      <c r="AA8" s="1">
        <f t="shared" si="0"/>
        <v>627454.43835616438</v>
      </c>
    </row>
    <row r="9" spans="1:27" x14ac:dyDescent="0.4">
      <c r="B9" t="s">
        <v>4</v>
      </c>
      <c r="C9" s="4">
        <f>-0.5*$E$2</f>
        <v>-15686.36095890411</v>
      </c>
      <c r="D9" s="4">
        <f t="shared" ref="D9:AA9" si="1">-0.5*$E$2-3000*$C$2</f>
        <v>-24494.855958904111</v>
      </c>
      <c r="E9" s="4">
        <f t="shared" si="1"/>
        <v>-24494.855958904111</v>
      </c>
      <c r="F9" s="4">
        <f t="shared" si="1"/>
        <v>-24494.855958904111</v>
      </c>
      <c r="G9" s="4">
        <f t="shared" si="1"/>
        <v>-24494.855958904111</v>
      </c>
      <c r="H9" s="4">
        <f t="shared" si="1"/>
        <v>-24494.855958904111</v>
      </c>
      <c r="I9" s="4">
        <f t="shared" si="1"/>
        <v>-24494.855958904111</v>
      </c>
      <c r="J9" s="4">
        <f t="shared" si="1"/>
        <v>-24494.855958904111</v>
      </c>
      <c r="K9" s="4">
        <f t="shared" si="1"/>
        <v>-24494.855958904111</v>
      </c>
      <c r="L9" s="4">
        <f t="shared" si="1"/>
        <v>-24494.855958904111</v>
      </c>
      <c r="M9" s="4">
        <f t="shared" si="1"/>
        <v>-24494.855958904111</v>
      </c>
      <c r="N9" s="4">
        <f t="shared" si="1"/>
        <v>-24494.855958904111</v>
      </c>
      <c r="O9" s="4">
        <f t="shared" si="1"/>
        <v>-24494.855958904111</v>
      </c>
      <c r="P9" s="4">
        <f t="shared" si="1"/>
        <v>-24494.855958904111</v>
      </c>
      <c r="Q9" s="4">
        <f t="shared" si="1"/>
        <v>-24494.855958904111</v>
      </c>
      <c r="R9" s="4">
        <f t="shared" si="1"/>
        <v>-24494.855958904111</v>
      </c>
      <c r="S9" s="4">
        <f t="shared" si="1"/>
        <v>-24494.855958904111</v>
      </c>
      <c r="T9" s="4">
        <f t="shared" si="1"/>
        <v>-24494.855958904111</v>
      </c>
      <c r="U9" s="4">
        <f t="shared" si="1"/>
        <v>-24494.855958904111</v>
      </c>
      <c r="V9" s="4">
        <f t="shared" si="1"/>
        <v>-24494.855958904111</v>
      </c>
      <c r="W9" s="4">
        <f t="shared" si="1"/>
        <v>-24494.855958904111</v>
      </c>
      <c r="X9" s="4">
        <f t="shared" si="1"/>
        <v>-24494.855958904111</v>
      </c>
      <c r="Y9" s="4">
        <f t="shared" si="1"/>
        <v>-24494.855958904111</v>
      </c>
      <c r="Z9" s="4">
        <f t="shared" si="1"/>
        <v>-24494.855958904111</v>
      </c>
      <c r="AA9" s="4">
        <f t="shared" si="1"/>
        <v>-24494.855958904111</v>
      </c>
    </row>
    <row r="10" spans="1:27" x14ac:dyDescent="0.4">
      <c r="B10" t="s">
        <v>5</v>
      </c>
      <c r="C10" s="1">
        <v>-1000000</v>
      </c>
      <c r="D10" s="1">
        <v>-1000000</v>
      </c>
      <c r="E10" s="1">
        <v>-1000000</v>
      </c>
      <c r="F10" s="1">
        <v>-1000000</v>
      </c>
      <c r="G10" s="1">
        <v>-1000000</v>
      </c>
      <c r="H10" s="1">
        <v>-1000000</v>
      </c>
      <c r="I10" s="1">
        <v>-1000000</v>
      </c>
      <c r="J10" s="1">
        <v>-1000000</v>
      </c>
      <c r="K10" s="1">
        <v>-1000000</v>
      </c>
      <c r="L10" s="1">
        <v>-1000000</v>
      </c>
      <c r="M10" s="1">
        <v>-1000000</v>
      </c>
      <c r="N10" s="1">
        <v>-1000000</v>
      </c>
      <c r="O10" s="1">
        <v>-1000000</v>
      </c>
      <c r="P10" s="1">
        <v>-1000000</v>
      </c>
      <c r="Q10" s="1">
        <v>-1000000</v>
      </c>
      <c r="R10" s="1">
        <v>-1000000</v>
      </c>
      <c r="S10" s="1">
        <v>-1000000</v>
      </c>
      <c r="T10" s="1">
        <v>-1000000</v>
      </c>
      <c r="U10" s="1">
        <v>-1000000</v>
      </c>
      <c r="V10" s="1">
        <v>-1000000</v>
      </c>
      <c r="W10" s="1">
        <v>-1000000</v>
      </c>
      <c r="X10" s="1">
        <v>-1000000</v>
      </c>
      <c r="Y10" s="1">
        <v>-1000000</v>
      </c>
      <c r="Z10" s="1">
        <v>-1000000</v>
      </c>
      <c r="AA10" s="1">
        <v>-1000000</v>
      </c>
    </row>
    <row r="11" spans="1:27" x14ac:dyDescent="0.4">
      <c r="B11" t="s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3" spans="1:27" x14ac:dyDescent="0.4">
      <c r="A13" t="s">
        <v>7</v>
      </c>
    </row>
    <row r="14" spans="1:27" x14ac:dyDescent="0.4">
      <c r="A14" s="6">
        <f>IRR(B14:AA14)</f>
        <v>6.146987414874161E-2</v>
      </c>
      <c r="B14" s="3">
        <f>B6+B4</f>
        <v>-322978.14999999997</v>
      </c>
      <c r="C14">
        <f>SUM(C8:C13)</f>
        <v>5258858.0226027397</v>
      </c>
      <c r="D14">
        <f t="shared" ref="D14:AA14" si="2">SUM(D8:D13)</f>
        <v>-397040.41760273976</v>
      </c>
      <c r="E14">
        <f t="shared" si="2"/>
        <v>-397040.41760273976</v>
      </c>
      <c r="F14">
        <f t="shared" si="2"/>
        <v>-397040.41760273976</v>
      </c>
      <c r="G14">
        <f t="shared" si="2"/>
        <v>-397040.41760273976</v>
      </c>
      <c r="H14">
        <f t="shared" si="2"/>
        <v>-397040.41760273976</v>
      </c>
      <c r="I14">
        <f t="shared" si="2"/>
        <v>-397040.41760273976</v>
      </c>
      <c r="J14">
        <f t="shared" si="2"/>
        <v>-397040.41760273976</v>
      </c>
      <c r="K14">
        <f t="shared" si="2"/>
        <v>-397040.41760273976</v>
      </c>
      <c r="L14">
        <f t="shared" si="2"/>
        <v>-397040.41760273976</v>
      </c>
      <c r="M14">
        <f t="shared" si="2"/>
        <v>-397040.41760273976</v>
      </c>
      <c r="N14">
        <f t="shared" si="2"/>
        <v>-397040.41760273976</v>
      </c>
      <c r="O14">
        <f t="shared" si="2"/>
        <v>-397040.41760273976</v>
      </c>
      <c r="P14">
        <f t="shared" si="2"/>
        <v>-397040.41760273976</v>
      </c>
      <c r="Q14">
        <f t="shared" si="2"/>
        <v>-397040.41760273976</v>
      </c>
      <c r="R14">
        <f t="shared" si="2"/>
        <v>-397040.41760273976</v>
      </c>
      <c r="S14">
        <f t="shared" si="2"/>
        <v>-397040.41760273976</v>
      </c>
      <c r="T14">
        <f t="shared" si="2"/>
        <v>-397040.41760273976</v>
      </c>
      <c r="U14">
        <f t="shared" si="2"/>
        <v>-397040.41760273976</v>
      </c>
      <c r="V14">
        <f t="shared" si="2"/>
        <v>-397040.41760273976</v>
      </c>
      <c r="W14">
        <f t="shared" si="2"/>
        <v>-397040.41760273976</v>
      </c>
      <c r="X14">
        <f t="shared" si="2"/>
        <v>-397040.41760273976</v>
      </c>
      <c r="Y14">
        <f t="shared" si="2"/>
        <v>-397040.41760273976</v>
      </c>
      <c r="Z14">
        <f t="shared" si="2"/>
        <v>-397040.41760273976</v>
      </c>
      <c r="AA14">
        <f t="shared" si="2"/>
        <v>-397040.41760273976</v>
      </c>
    </row>
    <row r="16" spans="1:27" x14ac:dyDescent="0.4">
      <c r="B16" s="5">
        <f>NPV(0.042,C14:AA14)+B14</f>
        <v>-968584.55317510525</v>
      </c>
    </row>
    <row r="17" spans="2:15" x14ac:dyDescent="0.4">
      <c r="D17">
        <f>75000000/100</f>
        <v>750000</v>
      </c>
      <c r="G17">
        <f>0.1556+0.214395</f>
        <v>0.36999499999999996</v>
      </c>
      <c r="K17">
        <v>0.74642283024207101</v>
      </c>
    </row>
    <row r="18" spans="2:15" x14ac:dyDescent="0.4">
      <c r="B18" s="5">
        <f>B16/1000000</f>
        <v>-0.96858455317510528</v>
      </c>
      <c r="D18">
        <f>D17/30</f>
        <v>25000</v>
      </c>
      <c r="J18">
        <f>45000/365</f>
        <v>123.28767123287672</v>
      </c>
      <c r="K18">
        <f>K17*287000</f>
        <v>214223.35227947438</v>
      </c>
      <c r="N18" s="2">
        <f>B2/2*(8000/8760)*0.4*9.97*0.589/1000</f>
        <v>10725.716894977171</v>
      </c>
      <c r="O18" t="s">
        <v>10</v>
      </c>
    </row>
    <row r="19" spans="2:15" x14ac:dyDescent="0.4">
      <c r="F19" t="s">
        <v>11</v>
      </c>
      <c r="H19">
        <v>4.22</v>
      </c>
      <c r="N19">
        <f>N18*2</f>
        <v>21451.433789954343</v>
      </c>
      <c r="O19" t="s">
        <v>10</v>
      </c>
    </row>
    <row r="20" spans="2:15" x14ac:dyDescent="0.4">
      <c r="B20" s="10">
        <f>B18*5</f>
        <v>-4.8429227658755263</v>
      </c>
      <c r="F20">
        <f>287229</f>
        <v>287229</v>
      </c>
      <c r="H20">
        <v>8.15</v>
      </c>
    </row>
    <row r="21" spans="2:15" x14ac:dyDescent="0.4">
      <c r="B21" s="2">
        <v>177.52557523289957</v>
      </c>
      <c r="H21">
        <v>8.91</v>
      </c>
      <c r="N21">
        <f>190*0.91*N18+20*N18</f>
        <v>2068990.7890410963</v>
      </c>
    </row>
    <row r="22" spans="2:15" x14ac:dyDescent="0.4">
      <c r="E22" s="9">
        <f>E5</f>
        <v>0.2936165</v>
      </c>
      <c r="F22" s="1">
        <f>B2*0.4*0.589*9.97/1000</f>
        <v>23489.32</v>
      </c>
      <c r="H22">
        <v>8.06</v>
      </c>
      <c r="K22">
        <f>0.713*265000</f>
        <v>188945</v>
      </c>
      <c r="N22">
        <f>190*0.91*N19+20*N19</f>
        <v>4137981.5780821927</v>
      </c>
    </row>
    <row r="23" spans="2:15" x14ac:dyDescent="0.4">
      <c r="E23">
        <f>F23/1000000</f>
        <v>4.9605685548800009</v>
      </c>
      <c r="F23">
        <f>F22*210*0.9104+F22*20</f>
        <v>4960568.5548800007</v>
      </c>
      <c r="H23">
        <v>4.13</v>
      </c>
    </row>
    <row r="24" spans="2:15" x14ac:dyDescent="0.4">
      <c r="E24">
        <f>E22*10+E23</f>
        <v>7.8967335548800008</v>
      </c>
      <c r="H24">
        <f>AVERAGE(H19:H23)</f>
        <v>6.6940000000000008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Large_scen</vt:lpstr>
      <vt:lpstr>Upgrading</vt:lpstr>
      <vt:lpstr>Flex_biomethane</vt:lpstr>
      <vt:lpstr>Flex_biogas</vt:lpstr>
      <vt:lpstr>CHP</vt:lpstr>
      <vt:lpstr>Boiler</vt:lpstr>
      <vt:lpstr>Sheet6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Gården</dc:creator>
  <cp:lastModifiedBy>Fredrik Sollerud</cp:lastModifiedBy>
  <dcterms:created xsi:type="dcterms:W3CDTF">2025-05-15T08:52:19Z</dcterms:created>
  <dcterms:modified xsi:type="dcterms:W3CDTF">2025-05-27T11:49:43Z</dcterms:modified>
</cp:coreProperties>
</file>